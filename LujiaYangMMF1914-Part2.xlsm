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BackupPlus/Information technology/"/>
    </mc:Choice>
  </mc:AlternateContent>
  <xr:revisionPtr revIDLastSave="0" documentId="13_ncr:1_{EEED67F0-67E7-BE44-88E6-1AB00E6E463C}" xr6:coauthVersionLast="47" xr6:coauthVersionMax="47" xr10:uidLastSave="{00000000-0000-0000-0000-000000000000}"/>
  <bookViews>
    <workbookView xWindow="8680" yWindow="-20240" windowWidth="20500" windowHeight="16860" xr2:uid="{00DD61CA-636F-4439-88F5-2572EA60572A}"/>
  </bookViews>
  <sheets>
    <sheet name="Part2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8" i="1" l="1"/>
  <c r="K18" i="1" a="1"/>
  <c r="K18" i="1" l="1"/>
  <c r="K12" i="1" a="1"/>
  <c r="K15" i="1" a="1"/>
  <c r="K19" i="1" a="1"/>
  <c r="K17" i="1" a="1"/>
  <c r="K16" i="1" a="1"/>
  <c r="K19" i="1" l="1"/>
  <c r="I12" i="1"/>
  <c r="K17" i="1"/>
  <c r="K16" i="1"/>
  <c r="K15" i="1"/>
  <c r="K12" i="1"/>
  <c r="K13" i="1" a="1"/>
  <c r="I17" i="1" l="1"/>
  <c r="I19" i="1"/>
  <c r="I16" i="1"/>
  <c r="M16" i="1" s="1"/>
  <c r="M17" i="1"/>
  <c r="I13" i="1"/>
  <c r="M18" i="1" s="1"/>
  <c r="M19" i="1"/>
  <c r="K13" i="1"/>
  <c r="I15" i="1" l="1"/>
  <c r="M12" i="1"/>
  <c r="M15" i="1" l="1"/>
  <c r="M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<sst xmlns="http://schemas.openxmlformats.org/spreadsheetml/2006/main" count="23" uniqueCount="23">
  <si>
    <t>Current Price</t>
  </si>
  <si>
    <t>Strike Price</t>
  </si>
  <si>
    <t>Risk Free Rate</t>
  </si>
  <si>
    <t>Dividend Yield</t>
  </si>
  <si>
    <t>Annualized Volatility</t>
  </si>
  <si>
    <t>D1</t>
  </si>
  <si>
    <t>D2</t>
  </si>
  <si>
    <t>Time to Expiry in Years</t>
  </si>
  <si>
    <t>Difference</t>
  </si>
  <si>
    <t>Spreadsheet</t>
  </si>
  <si>
    <t>VBA Function</t>
  </si>
  <si>
    <t>Call or Put (C or P)</t>
  </si>
  <si>
    <t>Input</t>
  </si>
  <si>
    <t>Part2 - Excel VBA</t>
  </si>
  <si>
    <t>Reference:</t>
  </si>
  <si>
    <t>Option Pricer</t>
  </si>
  <si>
    <t>Option Price ($)</t>
  </si>
  <si>
    <t>Delta (%)</t>
  </si>
  <si>
    <t>Gamma (%)</t>
  </si>
  <si>
    <t>Vega (%)</t>
  </si>
  <si>
    <t>* Note: user input cell highlighted in blue</t>
  </si>
  <si>
    <t>Theta (%, 1-day)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</si>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</sst>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(&quot;$&quot;* #,##0.0000_);_(&quot;$&quot;* \(#,##0.0000\);_(&quot;$&quot;* &quot;-&quot;??_);_(@_)"/>
    <numFmt numFmtId="165" formatCode="_(&quot;$&quot;* #,##0.0000_);_(&quot;$&quot;* \(#,##0.0000\);_(&quot;$&quot;* &quot;-&quot;????_);_(@_)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1" fillId="0" borderId="1" xfId="0" applyFont="1" applyBorder="1"/>
    <xf numFmtId="164" fontId="1" fillId="0" borderId="1" xfId="0" applyNumberFormat="1" applyFont="1" applyBorder="1"/>
    <xf numFmtId="0" fontId="1" fillId="0" borderId="4" xfId="0" applyFont="1" applyBorder="1"/>
    <xf numFmtId="0" fontId="1" fillId="0" borderId="6" xfId="0" applyFont="1" applyBorder="1"/>
    <xf numFmtId="0" fontId="0" fillId="2" borderId="9" xfId="0" applyFill="1" applyBorder="1"/>
    <xf numFmtId="0" fontId="4" fillId="0" borderId="0" xfId="0" applyFont="1"/>
    <xf numFmtId="0" fontId="0" fillId="3" borderId="0" xfId="0" applyFill="1"/>
    <xf numFmtId="0" fontId="5" fillId="3" borderId="0" xfId="0" applyFont="1" applyFill="1"/>
    <xf numFmtId="0" fontId="1" fillId="0" borderId="0" xfId="0" applyFont="1" applyBorder="1"/>
    <xf numFmtId="165" fontId="1" fillId="0" borderId="0" xfId="0" applyNumberFormat="1" applyFont="1" applyBorder="1"/>
    <xf numFmtId="0" fontId="1" fillId="0" borderId="10" xfId="0" applyFont="1" applyBorder="1"/>
    <xf numFmtId="0" fontId="1" fillId="0" borderId="0" xfId="0" applyFont="1" applyFill="1" applyBorder="1"/>
    <xf numFmtId="0" fontId="4" fillId="2" borderId="3" xfId="0" applyFont="1" applyFill="1" applyBorder="1"/>
    <xf numFmtId="0" fontId="4" fillId="2" borderId="11" xfId="0" applyFont="1" applyFill="1" applyBorder="1"/>
    <xf numFmtId="0" fontId="6" fillId="2" borderId="8" xfId="0" applyFont="1" applyFill="1" applyBorder="1"/>
    <xf numFmtId="10" fontId="1" fillId="0" borderId="1" xfId="2" applyNumberFormat="1" applyFont="1" applyBorder="1" applyAlignment="1">
      <alignment wrapText="1"/>
    </xf>
    <xf numFmtId="10" fontId="1" fillId="0" borderId="1" xfId="2" applyNumberFormat="1" applyFont="1" applyBorder="1"/>
    <xf numFmtId="10" fontId="1" fillId="0" borderId="2" xfId="2" applyNumberFormat="1" applyFont="1" applyBorder="1"/>
    <xf numFmtId="164" fontId="1" fillId="0" borderId="1" xfId="1" applyNumberFormat="1" applyFont="1" applyBorder="1"/>
    <xf numFmtId="166" fontId="1" fillId="0" borderId="1" xfId="0" applyNumberFormat="1" applyFont="1" applyBorder="1"/>
    <xf numFmtId="0" fontId="3" fillId="0" borderId="0" xfId="0" applyFont="1"/>
    <xf numFmtId="0" fontId="7" fillId="0" borderId="5" xfId="0" applyFont="1" applyBorder="1"/>
    <xf numFmtId="10" fontId="7" fillId="0" borderId="5" xfId="2" applyNumberFormat="1" applyFont="1" applyBorder="1"/>
    <xf numFmtId="44" fontId="0" fillId="0" borderId="0" xfId="0" applyNumberFormat="1" applyBorder="1"/>
    <xf numFmtId="44" fontId="7" fillId="0" borderId="5" xfId="1" applyNumberFormat="1" applyFont="1" applyBorder="1"/>
    <xf numFmtId="2" fontId="7" fillId="0" borderId="7" xfId="2" applyNumberFormat="1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12701</xdr:colOff>
      <xdr:row>21</xdr:row>
      <xdr:rowOff>128304</xdr:rowOff>
    </xdr:from>
    <xdr:to>
      <xdr:col>12</xdr:col>
      <xdr:colOff>736601</xdr:colOff>
      <xdr:row>28</xdr:row>
      <xdr:rowOff>176735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353C45-8460-49FE-8862-260FC7B77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24401" y="4624104"/>
          <a:ext cx="4927600" cy="1381931"/>
        </a:xfrm>
        <a:prstGeom prst="rect">
          <a:avLst/>
        </a:prstGeom>
      </xdr:spPr>
    </xdr:pic>
    <xdr:clientData/>
  </xdr:twoCellAnchor>
  <xdr:twoCellAnchor editAs="oneCell">
    <xdr:from>
      <xdr:col>7</xdr:col>
      <xdr:colOff>12701</xdr:colOff>
      <xdr:row>29</xdr:row>
      <xdr:rowOff>127000</xdr:rowOff>
    </xdr:from>
    <xdr:to>
      <xdr:col>12</xdr:col>
      <xdr:colOff>698501</xdr:colOff>
      <xdr:row>31</xdr:row>
      <xdr:rowOff>144385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4BB4BE0-C2E9-48C0-9771-CDC1205C1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24401" y="6146800"/>
          <a:ext cx="4889500" cy="39838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</xdr:colOff>
      <xdr:row>32</xdr:row>
      <xdr:rowOff>143205</xdr:rowOff>
    </xdr:from>
    <xdr:to>
      <xdr:col>12</xdr:col>
      <xdr:colOff>798282</xdr:colOff>
      <xdr:row>43</xdr:row>
      <xdr:rowOff>25400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12740B9-8D4E-40BC-8631-61334528F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24400" y="6734505"/>
          <a:ext cx="4989282" cy="1977695"/>
        </a:xfrm>
        <a:prstGeom prst="rect">
          <a:avLst/>
        </a:prstGeom>
      </xdr:spPr>
    </xdr:pic>
    <xdr:clientData/>
  </xdr:twoCellAnchor>
  <xdr:twoCellAnchor editAs="oneCell">
    <xdr:from>
      <xdr:col>12</xdr:col>
      <xdr:colOff>761999</xdr:colOff>
      <xdr:row>21</xdr:row>
      <xdr:rowOff>114300</xdr:rowOff>
    </xdr:from>
    <xdr:to>
      <xdr:col>19</xdr:col>
      <xdr:colOff>317500</xdr:colOff>
      <xdr:row>31</xdr:row>
      <xdr:rowOff>111705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306DA47-DC1A-4232-9C9D-9E1C53D2B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77399" y="4826000"/>
          <a:ext cx="4584701" cy="1902405"/>
        </a:xfrm>
        <a:prstGeom prst="rect">
          <a:avLst/>
        </a:prstGeom>
      </xdr:spPr>
    </xdr:pic>
    <xdr:clientData/>
  </xdr:twoCellAnchor>
  <xdr:twoCellAnchor editAs="oneCell">
    <xdr:from>
      <xdr:col>13</xdr:col>
      <xdr:colOff>38099</xdr:colOff>
      <xdr:row>31</xdr:row>
      <xdr:rowOff>127000</xdr:rowOff>
    </xdr:from>
    <xdr:to>
      <xdr:col>20</xdr:col>
      <xdr:colOff>330200</xdr:colOff>
      <xdr:row>43</xdr:row>
      <xdr:rowOff>77967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2B7DCC1-F86E-4067-92E5-3711C171E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67899" y="6743700"/>
          <a:ext cx="5003801" cy="2236967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63501</xdr:colOff>
      <xdr:row>43</xdr:row>
      <xdr:rowOff>127234</xdr:rowOff>
    </xdr:from>
    <xdr:to>
      <xdr:col>20</xdr:col>
      <xdr:colOff>393701</xdr:colOff>
      <xdr:row>52</xdr:row>
      <xdr:rowOff>35844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8956693-743B-4B39-9C64-55042F24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93301" y="9029934"/>
          <a:ext cx="5041900" cy="16231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7AD9-4FF0-4E7C-89E6-830CD2E03F00}">
  <sheetPr codeName="Sheet1"/>
  <dimension ref="E1:R21"/>
  <sheetViews>
    <sheetView tabSelected="1" topLeftCell="E1" workbookViewId="0">
      <selection activeCell="P17" sqref="P17"/>
    </sheetView>
  </sheetViews>
  <sheetFormatPr baseColWidth="10" defaultColWidth="8.83203125" defaultRowHeight="15" x14ac:dyDescent="0.2"/>
  <cols>
    <col min="8" max="8" width="21.1640625" bestFit="1" customWidth="1"/>
    <col min="9" max="9" width="14.1640625" customWidth="1"/>
    <col min="10" max="10" width="1.6640625" customWidth="1"/>
    <col min="11" max="11" width="16.6640625" bestFit="1" customWidth="1"/>
    <col min="12" max="12" width="1.5" customWidth="1"/>
    <col min="13" max="13" width="13" bestFit="1" customWidth="1"/>
  </cols>
  <sheetData>
    <row r="1" spans="5:18" ht="44" customHeight="1" thickBot="1" x14ac:dyDescent="0.35">
      <c r="E1" s="9" t="s">
        <v>13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5:18" ht="17" customHeight="1" thickBot="1" x14ac:dyDescent="0.3">
      <c r="H2" s="16" t="s">
        <v>12</v>
      </c>
      <c r="I2" s="6"/>
    </row>
    <row r="3" spans="5:18" ht="16" x14ac:dyDescent="0.2">
      <c r="H3" s="4" t="s">
        <v>11</v>
      </c>
      <c r="I3" s="23" t="s">
        <v>22</v>
      </c>
      <c r="J3" s="22" t="s">
        <v>20</v>
      </c>
      <c r="K3" s="1"/>
      <c r="L3" s="1"/>
      <c r="M3" s="1"/>
    </row>
    <row r="4" spans="5:18" ht="16" x14ac:dyDescent="0.2">
      <c r="H4" s="4" t="s">
        <v>0</v>
      </c>
      <c r="I4" s="26">
        <v>100</v>
      </c>
      <c r="J4" s="1"/>
      <c r="K4" s="1"/>
      <c r="L4" s="1"/>
      <c r="M4" s="1"/>
      <c r="N4" s="1"/>
      <c r="O4" s="25"/>
    </row>
    <row r="5" spans="5:18" ht="16" x14ac:dyDescent="0.2">
      <c r="H5" s="4" t="s">
        <v>1</v>
      </c>
      <c r="I5" s="26">
        <v>100</v>
      </c>
      <c r="J5" s="1"/>
      <c r="K5" s="1"/>
      <c r="L5" s="1"/>
      <c r="M5" s="1"/>
      <c r="N5" s="1"/>
      <c r="O5" s="25"/>
    </row>
    <row r="6" spans="5:18" ht="16" x14ac:dyDescent="0.2">
      <c r="H6" s="4" t="s">
        <v>2</v>
      </c>
      <c r="I6" s="24">
        <v>0.05</v>
      </c>
      <c r="J6" s="1"/>
      <c r="K6" s="1"/>
      <c r="L6" s="1"/>
      <c r="M6" s="1"/>
      <c r="N6" s="1"/>
      <c r="O6" s="25"/>
    </row>
    <row r="7" spans="5:18" ht="16" x14ac:dyDescent="0.2">
      <c r="H7" s="4" t="s">
        <v>3</v>
      </c>
      <c r="I7" s="24">
        <v>0</v>
      </c>
      <c r="J7" s="1"/>
      <c r="K7" s="1"/>
      <c r="L7" s="1"/>
      <c r="M7" s="1"/>
      <c r="N7" s="1"/>
      <c r="O7" s="25"/>
    </row>
    <row r="8" spans="5:18" ht="16" x14ac:dyDescent="0.2">
      <c r="H8" s="4" t="s">
        <v>4</v>
      </c>
      <c r="I8" s="24">
        <v>0.2</v>
      </c>
      <c r="J8" s="1"/>
      <c r="K8" s="1"/>
      <c r="L8" s="1"/>
      <c r="M8" s="1"/>
      <c r="N8" s="1"/>
      <c r="O8" s="25"/>
    </row>
    <row r="9" spans="5:18" ht="17" thickBot="1" x14ac:dyDescent="0.25">
      <c r="H9" s="5" t="s">
        <v>7</v>
      </c>
      <c r="I9" s="27">
        <v>1</v>
      </c>
      <c r="J9" s="1"/>
      <c r="K9" s="1"/>
      <c r="L9" s="1"/>
      <c r="M9" s="1"/>
      <c r="N9" s="1"/>
      <c r="O9" s="25"/>
    </row>
    <row r="10" spans="5:18" ht="18" customHeight="1" thickBot="1" x14ac:dyDescent="0.25">
      <c r="H10" s="1"/>
      <c r="I10" s="1"/>
      <c r="J10" s="1"/>
      <c r="K10" s="1"/>
      <c r="L10" s="1"/>
      <c r="M10" s="1"/>
    </row>
    <row r="11" spans="5:18" s="7" customFormat="1" ht="20" thickBot="1" x14ac:dyDescent="0.3">
      <c r="H11" s="16" t="s">
        <v>15</v>
      </c>
      <c r="I11" s="14" t="s">
        <v>9</v>
      </c>
      <c r="J11" s="15"/>
      <c r="K11" s="14" t="s">
        <v>10</v>
      </c>
      <c r="L11" s="15"/>
      <c r="M11" s="14" t="s">
        <v>8</v>
      </c>
    </row>
    <row r="12" spans="5:18" ht="16" x14ac:dyDescent="0.2">
      <c r="H12" s="4" t="s">
        <v>5</v>
      </c>
      <c r="I12" s="21">
        <f>(1/(I8*SQRT(I9)))*(LN(I4/I5)+(I6-I7+I8^2/2)*I9)</f>
        <v>0.35000000000000003</v>
      </c>
      <c r="J12" s="10"/>
      <c r="K12" s="21" cm="1">
        <f t="array" ref="K12">BlackScholesD1(I4,I5,I6,I7,I8,I9)</f>
        <v>0.35000000000000003</v>
      </c>
      <c r="L12" s="10"/>
      <c r="M12" s="21">
        <f>K12-I12</f>
        <v>0</v>
      </c>
    </row>
    <row r="13" spans="5:18" ht="16" x14ac:dyDescent="0.2">
      <c r="H13" s="4" t="s">
        <v>6</v>
      </c>
      <c r="I13" s="21">
        <f>I12-I8*SQRT(I9)</f>
        <v>0.15000000000000002</v>
      </c>
      <c r="J13" s="10"/>
      <c r="K13" s="21" cm="1">
        <f t="array" ref="K13">BlackScholesD2(K12,I8,I9)</f>
        <v>0.15000000000000002</v>
      </c>
      <c r="L13" s="10"/>
      <c r="M13" s="21">
        <f>K13-I13</f>
        <v>0</v>
      </c>
    </row>
    <row r="14" spans="5:18" ht="16" x14ac:dyDescent="0.2">
      <c r="H14" s="4"/>
      <c r="I14" s="2"/>
      <c r="J14" s="10"/>
      <c r="K14" s="2"/>
      <c r="L14" s="10"/>
      <c r="M14" s="2"/>
    </row>
    <row r="15" spans="5:18" ht="16" x14ac:dyDescent="0.2">
      <c r="H15" s="4" t="s">
        <v>16</v>
      </c>
      <c r="I15" s="3">
        <f>IF(I3="C",1,-1)*_xlfn.NORM.S.DIST(IF(I3="C",1,-1)*I12,TRUE)*I4*EXP(-I7*I9)-IF(I3="C",1,-1)*_xlfn.NORM.S.DIST(IF(I3="C",1,-1)*I13, TRUE)*I5*EXP(-I6*I9)</f>
        <v>5.5735260222569636</v>
      </c>
      <c r="J15" s="10"/>
      <c r="K15" s="20" cm="1">
        <f t="array" ref="K15">MMFOptionPricer(I3,I4,I5,I6,I7,I8,I9)</f>
        <v>5.5735260222569707</v>
      </c>
      <c r="L15" s="11"/>
      <c r="M15" s="20">
        <f>K15-I15</f>
        <v>7.1054273576010019E-15</v>
      </c>
    </row>
    <row r="16" spans="5:18" ht="21" customHeight="1" x14ac:dyDescent="0.2">
      <c r="H16" s="4" t="s">
        <v>17</v>
      </c>
      <c r="I16" s="17">
        <f>IF(I3="C",1,-1)*
_xlfn.NORM.S.DIST(IF(I3="C",1,-1)*I12,TRUE)*
EXP(-I7*I9)</f>
        <v>-0.3631693488243809</v>
      </c>
      <c r="J16" s="10"/>
      <c r="K16" s="18" cm="1">
        <f t="array" ref="K16">BSOptionDelta(I3,I4,I5,I8,I9,I6,I7)</f>
        <v>-0.3631693488243809</v>
      </c>
      <c r="L16" s="10"/>
      <c r="M16" s="18">
        <f>I16-K16</f>
        <v>0</v>
      </c>
    </row>
    <row r="17" spans="8:13" ht="16" x14ac:dyDescent="0.2">
      <c r="H17" s="4" t="s">
        <v>18</v>
      </c>
      <c r="I17" s="18">
        <f>_xlfn.NORM.S.DIST(I12,FALSE)*
EXP(-I7*I9) / (I4* I8 * SQRT(I9))</f>
        <v>1.8762017345846895E-2</v>
      </c>
      <c r="J17" s="10"/>
      <c r="K17" s="18" cm="1">
        <f t="array" ref="K17">BSOptionGamma(I3,I4,I5,I8,I9,I6,I7)</f>
        <v>1.8762017345846895E-2</v>
      </c>
      <c r="L17" s="10"/>
      <c r="M17" s="18">
        <f>I17-K17</f>
        <v>0</v>
      </c>
    </row>
    <row r="18" spans="8:13" ht="16" x14ac:dyDescent="0.2">
      <c r="H18" s="4" t="s">
        <v>21</v>
      </c>
      <c r="I18" s="18">
        <f>(-I4*EXP(-I7*I9)*
_xlfn.NORM.S.DIST(I12,FALSE)*I8/(2*SQRT(I9))-IF(I3="C",1,-1)*
I6*I5*EXP(-I6*I9)*_xlfn.NORM.S.DIST(IF(I3="C",1,-1)*I13, TRUE)+IF(I3="C",1,-1)*
I7*I4*EXP(-I7*I9)*_xlfn.NORM.S.DIST(IF(I3="C",1,-1)*I12,TRUE))/365</f>
        <v>-4.5421381477661E-3</v>
      </c>
      <c r="J18" s="10"/>
      <c r="K18" s="18" cm="1">
        <f t="array" ref="K18">BSOptionTheta(I3,I4,I5,I8,I9,I6,I7)</f>
        <v>-4.5421381477660991E-3</v>
      </c>
      <c r="L18" s="10"/>
      <c r="M18" s="18">
        <f>I18-K18</f>
        <v>0</v>
      </c>
    </row>
    <row r="19" spans="8:13" ht="17" thickBot="1" x14ac:dyDescent="0.25">
      <c r="H19" s="5" t="s">
        <v>19</v>
      </c>
      <c r="I19" s="19">
        <f>(I4*EXP(-I7*I9)*SQRT(I9)*
_xlfn.NORM.S.DIST(I12,FALSE))/100</f>
        <v>0.37524034691693792</v>
      </c>
      <c r="J19" s="12"/>
      <c r="K19" s="19" cm="1">
        <f t="array" ref="K19">BSOptionVega(I3,I4,I5,I8,I9,I6,I7)</f>
        <v>0.37524034691693792</v>
      </c>
      <c r="L19" s="12"/>
      <c r="M19" s="19">
        <f>I19-K19</f>
        <v>0</v>
      </c>
    </row>
    <row r="21" spans="8:13" ht="23" customHeight="1" x14ac:dyDescent="0.2">
      <c r="H21" s="13" t="s">
        <v>14</v>
      </c>
    </row>
  </sheetData>
  <dataValidations count="1">
    <dataValidation type="list" allowBlank="1" showInputMessage="1" showErrorMessage="1" sqref="I3" xr:uid="{80B3A2C1-1D7A-4C40-A800-A993C6310017}">
      <formula1>"P,C"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Berdeklis</dc:creator>
  <cp:lastModifiedBy>Microsoft Office User</cp:lastModifiedBy>
  <dcterms:created xsi:type="dcterms:W3CDTF">2020-08-23T13:25:56Z</dcterms:created>
  <dcterms:modified xsi:type="dcterms:W3CDTF">2021-09-21T04:53:37Z</dcterms:modified>
</cp:coreProperties>
</file>