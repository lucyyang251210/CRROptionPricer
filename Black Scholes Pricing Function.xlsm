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asure/Desktop/MMF - Information Technology/"/>
    </mc:Choice>
  </mc:AlternateContent>
  <xr:revisionPtr revIDLastSave="0" documentId="13_ncr:1_{91E19337-5842-814B-A838-61E1E1C5A315}" xr6:coauthVersionLast="47" xr6:coauthVersionMax="47" xr10:uidLastSave="{00000000-0000-0000-0000-000000000000}"/>
  <bookViews>
    <workbookView xWindow="120" yWindow="460" windowWidth="20260" windowHeight="13900" activeTab="3" xr2:uid="{00000000-000D-0000-FFFF-FFFF00000000}"/>
  </bookViews>
  <sheets>
    <sheet name="Pricer" sheetId="1" r:id="rId1"/>
    <sheet name="Pricer with Names" sheetId="4" r:id="rId2"/>
    <sheet name="Pricer Protected" sheetId="5" r:id="rId3"/>
    <sheet name="Pricer with Function" sheetId="6" r:id="rId4"/>
    <sheet name="Sheet1" sheetId="9" r:id="rId5"/>
  </sheets>
  <functionGroups builtInGroupCount="19"/>
  <externalReferences>
    <externalReference r:id="rId6"/>
  </externalReferences>
  <definedNames>
    <definedName name="CallorPut" localSheetId="2">'Pricer Protected'!$D$5</definedName>
    <definedName name="CallorPut" localSheetId="3">'Pricer with Function'!$D$5</definedName>
    <definedName name="CallorPut">'Pricer with Names'!$D$5</definedName>
    <definedName name="divyld" localSheetId="2">'Pricer Protected'!$B$7</definedName>
    <definedName name="divyld" localSheetId="3">'Pricer with Function'!$B$7</definedName>
    <definedName name="divyld">'Pricer with Names'!$B$7</definedName>
    <definedName name="ir" localSheetId="2">'Pricer Protected'!$D$8</definedName>
    <definedName name="ir" localSheetId="3">'Pricer with Function'!$D$8</definedName>
    <definedName name="ir">'Pricer with Names'!$D$8</definedName>
    <definedName name="K" localSheetId="2">'Pricer Protected'!$D$6</definedName>
    <definedName name="K" localSheetId="3">'Pricer with Function'!$D$6</definedName>
    <definedName name="K">'Pricer with Names'!$D$6</definedName>
    <definedName name="norm1" localSheetId="2">'Pricer Protected'!$K$6</definedName>
    <definedName name="norm1" localSheetId="3">'Pricer with Function'!$K$6</definedName>
    <definedName name="norm1">'Pricer with Names'!$K$6</definedName>
    <definedName name="norm1prime" localSheetId="2">'Pricer Protected'!$K$8</definedName>
    <definedName name="norm1prime" localSheetId="3">'Pricer with Function'!$K$8</definedName>
    <definedName name="norm1prime">'Pricer with Names'!$K$8</definedName>
    <definedName name="norm2" localSheetId="2">'Pricer Protected'!$K$7</definedName>
    <definedName name="norm2" localSheetId="3">'Pricer with Function'!$K$7</definedName>
    <definedName name="norm2">'Pricer with Names'!$K$7</definedName>
    <definedName name="norm2prime" localSheetId="2">'Pricer Protected'!$K$9</definedName>
    <definedName name="norm2prime" localSheetId="3">'Pricer with Function'!$K$9</definedName>
    <definedName name="norm2prime">'Pricer with Names'!$K$9</definedName>
    <definedName name="q" localSheetId="2">'Pricer Protected'!$B$7</definedName>
    <definedName name="q" localSheetId="3">'Pricer with Function'!$B$7</definedName>
    <definedName name="q">'Pricer with Names'!$B$7</definedName>
    <definedName name="S" localSheetId="2">'Pricer Protected'!$B$5</definedName>
    <definedName name="S" localSheetId="3">'Pricer with Function'!$B$5</definedName>
    <definedName name="S">'Pricer with Names'!$B$5</definedName>
    <definedName name="sigma" localSheetId="2">'Pricer Protected'!$B$6</definedName>
    <definedName name="sigma" localSheetId="3">'Pricer with Function'!$B$6</definedName>
    <definedName name="sigma">'Pricer with Names'!$B$6</definedName>
    <definedName name="SPrice" localSheetId="2">'Pricer Protected'!$B$5</definedName>
    <definedName name="SPrice" localSheetId="3">'Pricer with Function'!$B$5</definedName>
    <definedName name="SPrice">'Pricer with Names'!$B$5</definedName>
    <definedName name="Strike" localSheetId="2">'Pricer Protected'!$D$6</definedName>
    <definedName name="Strike" localSheetId="3">'Pricer with Function'!$D$6</definedName>
    <definedName name="Strike">'Pricer with Names'!$D$6</definedName>
    <definedName name="t" localSheetId="2">'Pricer Protected'!$D$7</definedName>
    <definedName name="t" localSheetId="3">'Pricer with Function'!$D$7</definedName>
    <definedName name="t">'Pricer with Names'!$D$7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6" l="1"/>
  <c r="J12" i="6"/>
  <c r="F7" i="6"/>
  <c r="K8" i="6"/>
  <c r="F6" i="6"/>
  <c r="J7" i="6"/>
  <c r="J6" i="6"/>
  <c r="J4" i="6"/>
  <c r="F5" i="1"/>
  <c r="J24" i="9"/>
  <c r="J25" i="9"/>
  <c r="J26" i="9"/>
  <c r="J27" i="9"/>
  <c r="J28" i="9"/>
  <c r="J29" i="9"/>
  <c r="J30" i="9"/>
  <c r="J31" i="9"/>
  <c r="J32" i="9"/>
  <c r="J33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5" i="9"/>
  <c r="J4" i="9"/>
  <c r="J3" i="9"/>
  <c r="K27" i="9"/>
  <c r="N30" i="9"/>
  <c r="L27" i="9"/>
  <c r="N32" i="9"/>
  <c r="L28" i="9"/>
  <c r="N28" i="9"/>
  <c r="M24" i="9"/>
  <c r="K32" i="9"/>
  <c r="L33" i="9"/>
  <c r="M31" i="9"/>
  <c r="K29" i="9"/>
  <c r="K33" i="9"/>
  <c r="M33" i="9"/>
  <c r="L32" i="9"/>
  <c r="L25" i="9"/>
  <c r="M29" i="9"/>
  <c r="N29" i="9"/>
  <c r="M25" i="9"/>
  <c r="L26" i="9"/>
  <c r="L30" i="9"/>
  <c r="N27" i="9"/>
  <c r="M26" i="9"/>
  <c r="N24" i="9"/>
  <c r="K28" i="9"/>
  <c r="M30" i="9"/>
  <c r="K26" i="9"/>
  <c r="M28" i="9"/>
  <c r="N25" i="9"/>
  <c r="N26" i="9"/>
  <c r="N33" i="9"/>
  <c r="K31" i="9"/>
  <c r="L29" i="9"/>
  <c r="L31" i="9"/>
  <c r="K30" i="9"/>
  <c r="L24" i="9"/>
  <c r="K24" i="9"/>
  <c r="M32" i="9"/>
  <c r="K25" i="9"/>
  <c r="N31" i="9"/>
  <c r="M27" i="9"/>
  <c r="E16" i="6"/>
  <c r="E18" i="6"/>
  <c r="E17" i="6"/>
  <c r="E20" i="6"/>
  <c r="E19" i="6"/>
  <c r="E21" i="6"/>
  <c r="K4" i="6" l="1"/>
  <c r="K6" i="6" s="1"/>
  <c r="M12" i="9"/>
  <c r="M13" i="9"/>
  <c r="L20" i="9"/>
  <c r="L4" i="9"/>
  <c r="M8" i="9"/>
  <c r="K20" i="9"/>
  <c r="L10" i="9"/>
  <c r="L6" i="9"/>
  <c r="L8" i="9"/>
  <c r="K19" i="9"/>
  <c r="L9" i="9"/>
  <c r="N8" i="9"/>
  <c r="N18" i="9"/>
  <c r="N5" i="9"/>
  <c r="M14" i="9"/>
  <c r="M18" i="9"/>
  <c r="M5" i="9"/>
  <c r="N22" i="9"/>
  <c r="N6" i="9"/>
  <c r="M9" i="9"/>
  <c r="M21" i="9"/>
  <c r="N20" i="9"/>
  <c r="K14" i="9"/>
  <c r="L13" i="9"/>
  <c r="L14" i="9"/>
  <c r="N23" i="9"/>
  <c r="N7" i="9"/>
  <c r="N19" i="9"/>
  <c r="K17" i="9"/>
  <c r="K23" i="9"/>
  <c r="K8" i="9"/>
  <c r="L15" i="9"/>
  <c r="M16" i="9"/>
  <c r="K21" i="9"/>
  <c r="K5" i="9"/>
  <c r="N3" i="9"/>
  <c r="K10" i="9"/>
  <c r="M22" i="9"/>
  <c r="M4" i="9"/>
  <c r="K7" i="9"/>
  <c r="K12" i="9"/>
  <c r="L16" i="9"/>
  <c r="M3" i="9"/>
  <c r="K9" i="9"/>
  <c r="L23" i="9"/>
  <c r="K16" i="9"/>
  <c r="L18" i="9"/>
  <c r="M7" i="9"/>
  <c r="K15" i="9"/>
  <c r="N9" i="9"/>
  <c r="K22" i="9"/>
  <c r="K6" i="9"/>
  <c r="N11" i="9"/>
  <c r="M15" i="9"/>
  <c r="N16" i="9"/>
  <c r="L22" i="9"/>
  <c r="N13" i="9"/>
  <c r="M19" i="9"/>
  <c r="K3" i="9"/>
  <c r="M20" i="9"/>
  <c r="L11" i="9"/>
  <c r="L12" i="9"/>
  <c r="K11" i="9"/>
  <c r="L5" i="9"/>
  <c r="L19" i="9"/>
  <c r="N15" i="9"/>
  <c r="K18" i="9"/>
  <c r="K4" i="9"/>
  <c r="N21" i="9"/>
  <c r="M11" i="9"/>
  <c r="L17" i="9"/>
  <c r="L7" i="9"/>
  <c r="M17" i="9"/>
  <c r="N10" i="9"/>
  <c r="L21" i="9"/>
  <c r="N4" i="9"/>
  <c r="M10" i="9"/>
  <c r="M6" i="9"/>
  <c r="N14" i="9"/>
  <c r="N17" i="9"/>
  <c r="L3" i="9"/>
  <c r="N12" i="9"/>
  <c r="K13" i="9"/>
  <c r="M23" i="9"/>
  <c r="F17" i="6" l="1"/>
  <c r="M6" i="6"/>
  <c r="J5" i="6"/>
  <c r="K5" i="6"/>
  <c r="M7" i="6" s="1"/>
  <c r="F18" i="6" l="1"/>
  <c r="F20" i="6"/>
  <c r="K9" i="6"/>
  <c r="K7" i="6"/>
  <c r="F8" i="6" s="1"/>
  <c r="F19" i="6" l="1"/>
  <c r="F10" i="6"/>
  <c r="F21" i="6" s="1"/>
  <c r="F5" i="6"/>
  <c r="F16" i="6" s="1"/>
  <c r="K4" i="5" l="1"/>
  <c r="K6" i="5" s="1"/>
  <c r="J4" i="5"/>
  <c r="J5" i="5" s="1"/>
  <c r="J7" i="5" s="1"/>
  <c r="K4" i="4"/>
  <c r="K5" i="4" s="1"/>
  <c r="K7" i="4" s="1"/>
  <c r="F10" i="4" s="1"/>
  <c r="J4" i="4"/>
  <c r="J5" i="4" s="1"/>
  <c r="J7" i="4" s="1"/>
  <c r="J4" i="1"/>
  <c r="J6" i="1" s="1"/>
  <c r="F6" i="5" l="1"/>
  <c r="K5" i="5"/>
  <c r="K8" i="5"/>
  <c r="J6" i="5"/>
  <c r="K8" i="4"/>
  <c r="K9" i="4"/>
  <c r="J5" i="1"/>
  <c r="J7" i="1" s="1"/>
  <c r="K6" i="4"/>
  <c r="F6" i="4" s="1"/>
  <c r="J6" i="4"/>
  <c r="F9" i="5" l="1"/>
  <c r="F7" i="5"/>
  <c r="K9" i="5"/>
  <c r="K7" i="5"/>
  <c r="F8" i="5" s="1"/>
  <c r="F8" i="4"/>
  <c r="F9" i="4"/>
  <c r="F7" i="4"/>
  <c r="F5" i="4"/>
  <c r="F10" i="5" l="1"/>
  <c r="F5" i="5"/>
</calcChain>
</file>

<file path=xl/sharedStrings.xml><?xml version="1.0" encoding="utf-8"?>
<sst xmlns="http://schemas.openxmlformats.org/spreadsheetml/2006/main" count="118" uniqueCount="46">
  <si>
    <t>Black Scholes Option Pricing Sheet</t>
  </si>
  <si>
    <t>Stock Details</t>
  </si>
  <si>
    <t>Current Price</t>
  </si>
  <si>
    <t>Option Details</t>
  </si>
  <si>
    <t>Strike Price</t>
  </si>
  <si>
    <t>Stock Valuation</t>
  </si>
  <si>
    <t>Estimated Volatility</t>
  </si>
  <si>
    <t>Time to Expiry (yrs.)</t>
  </si>
  <si>
    <t>Annual Interest Rate</t>
  </si>
  <si>
    <t>Dividend Yield</t>
  </si>
  <si>
    <t>Option Price</t>
  </si>
  <si>
    <t>Option Delta</t>
  </si>
  <si>
    <t>Option Gamma</t>
  </si>
  <si>
    <t>d1</t>
  </si>
  <si>
    <t>d2</t>
  </si>
  <si>
    <t>N1</t>
  </si>
  <si>
    <t>N2</t>
  </si>
  <si>
    <t>C or P</t>
  </si>
  <si>
    <t>p</t>
  </si>
  <si>
    <t>c</t>
  </si>
  <si>
    <t>using Names</t>
  </si>
  <si>
    <t>N1'</t>
  </si>
  <si>
    <t>N2'</t>
  </si>
  <si>
    <t>Option Theta (1 day)</t>
  </si>
  <si>
    <t>Option Vega (1%)</t>
  </si>
  <si>
    <t>Option Rho (1%)</t>
  </si>
  <si>
    <t>This makes it much easier to develop, debug and re-use.</t>
  </si>
  <si>
    <t>Always break up your programs into small re-usable pieces.</t>
  </si>
  <si>
    <t>Long formulas are hard to debug</t>
  </si>
  <si>
    <t>Using named ranges makes formulas much more readable and debugable</t>
  </si>
  <si>
    <t>Protecting sheets stops key-stroke errors.</t>
  </si>
  <si>
    <t>Remember to unprotect input cells.</t>
  </si>
  <si>
    <t>Right click on cells, select Format Cells-&gt;Protection and uncheck Locked to unprotect cells</t>
  </si>
  <si>
    <t>Always compare your program output to known solutions.</t>
  </si>
  <si>
    <t>Once verified, then you can focus on expanding to new solutions.</t>
  </si>
  <si>
    <t>Ensure that the program gives correct solutions in known cases.</t>
  </si>
  <si>
    <t>Pricing Using Functions</t>
  </si>
  <si>
    <t>Price</t>
  </si>
  <si>
    <t>Delta</t>
  </si>
  <si>
    <t>Gamma</t>
  </si>
  <si>
    <t>Theta</t>
  </si>
  <si>
    <t>Vega</t>
  </si>
  <si>
    <t>Rho</t>
  </si>
  <si>
    <t>Option Values</t>
  </si>
  <si>
    <t>Stock Price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</si>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</sst>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(&quot;$&quot;* #,##0.0000_);_(&quot;$&quot;* \(#,##0.0000\);_(&quot;$&quot;* &quot;-&quot;??_);_(@_)"/>
    <numFmt numFmtId="165" formatCode="0.000%"/>
    <numFmt numFmtId="166" formatCode="0.0000000"/>
    <numFmt numFmtId="167" formatCode="_(&quot;$&quot;* #,##0.0000_);_(&quot;$&quot;* \(#,##0.0000\);_(&quot;$&quot;* &quot;-&quot;??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sz val="9"/>
      <name val="Calibri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2" fillId="3" borderId="0" xfId="0" applyFont="1" applyFill="1"/>
    <xf numFmtId="44" fontId="0" fillId="0" borderId="0" xfId="1" applyFont="1"/>
    <xf numFmtId="10" fontId="0" fillId="0" borderId="0" xfId="2" applyNumberFormat="1" applyFont="1"/>
    <xf numFmtId="44" fontId="0" fillId="0" borderId="0" xfId="1" applyNumberFormat="1" applyFont="1"/>
    <xf numFmtId="2" fontId="0" fillId="0" borderId="0" xfId="0" applyNumberFormat="1"/>
    <xf numFmtId="164" fontId="0" fillId="0" borderId="0" xfId="0" applyNumberFormat="1"/>
    <xf numFmtId="165" fontId="0" fillId="0" borderId="0" xfId="2" applyNumberFormat="1" applyFont="1"/>
    <xf numFmtId="166" fontId="0" fillId="0" borderId="0" xfId="0" applyNumberFormat="1"/>
    <xf numFmtId="44" fontId="0" fillId="0" borderId="0" xfId="1" applyFont="1" applyProtection="1">
      <protection locked="0"/>
    </xf>
    <xf numFmtId="10" fontId="0" fillId="0" borderId="0" xfId="2" applyNumberFormat="1" applyFont="1" applyProtection="1">
      <protection locked="0"/>
    </xf>
    <xf numFmtId="0" fontId="0" fillId="0" borderId="0" xfId="0" applyProtection="1">
      <protection locked="0"/>
    </xf>
    <xf numFmtId="44" fontId="0" fillId="0" borderId="0" xfId="1" applyNumberFormat="1" applyFont="1" applyProtection="1">
      <protection locked="0"/>
    </xf>
    <xf numFmtId="2" fontId="0" fillId="0" borderId="0" xfId="0" applyNumberFormat="1" applyProtection="1">
      <protection locked="0"/>
    </xf>
    <xf numFmtId="0" fontId="0" fillId="0" borderId="0" xfId="0" applyProtection="1">
      <protection hidden="1"/>
    </xf>
    <xf numFmtId="167" fontId="0" fillId="0" borderId="0" xfId="0" applyNumberFormat="1"/>
    <xf numFmtId="0" fontId="5" fillId="0" borderId="0" xfId="0" applyFont="1"/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Valuation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Sheet1!$J$2</c:f>
              <c:strCache>
                <c:ptCount val="1"/>
                <c:pt idx="0">
                  <c:v>0</c:v>
                </c:pt>
              </c:strCache>
            </c:strRef>
          </c:tx>
          <c:xVal>
            <c:numRef>
              <c:f>Sheet1!$I$3:$I$33</c:f>
              <c:numCache>
                <c:formatCode>_("$"* #,##0.00_);_("$"* \(#,##0.00\);_("$"* "-"??_);_(@_)</c:formatCode>
                <c:ptCount val="3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  <c:pt idx="20">
                  <c:v>110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</c:numCache>
            </c:numRef>
          </c:xVal>
          <c:yVal>
            <c:numRef>
              <c:f>Sheet1!$J$3:$J$33</c:f>
              <c:numCache>
                <c:formatCode>_("$"* #,##0.00_);_("$"* \(#,##0.00\);_("$"*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A0-AC46-9CC6-EE00277EE4B0}"/>
            </c:ext>
          </c:extLst>
        </c:ser>
        <c:ser>
          <c:idx val="1"/>
          <c:order val="1"/>
          <c:tx>
            <c:strRef>
              <c:f>Sheet1!$K$2</c:f>
              <c:strCache>
                <c:ptCount val="1"/>
                <c:pt idx="0">
                  <c:v>0.1</c:v>
                </c:pt>
              </c:strCache>
            </c:strRef>
          </c:tx>
          <c:xVal>
            <c:numRef>
              <c:f>Sheet1!$I$3:$I$33</c:f>
              <c:numCache>
                <c:formatCode>_("$"* #,##0.00_);_("$"* \(#,##0.00\);_("$"* "-"??_);_(@_)</c:formatCode>
                <c:ptCount val="3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  <c:pt idx="20">
                  <c:v>110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</c:numCache>
            </c:numRef>
          </c:xVal>
          <c:yVal>
            <c:numRef>
              <c:f>Sheet1!$K$3:$K$33</c:f>
              <c:numCache>
                <c:formatCode>_("$"* #,##0.00_);_("$"* \(#,##0.00\);_("$"*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A0-AC46-9CC6-EE00277EE4B0}"/>
            </c:ext>
          </c:extLst>
        </c:ser>
        <c:ser>
          <c:idx val="2"/>
          <c:order val="2"/>
          <c:tx>
            <c:strRef>
              <c:f>Sheet1!$L$2</c:f>
              <c:strCache>
                <c:ptCount val="1"/>
                <c:pt idx="0">
                  <c:v>0.5</c:v>
                </c:pt>
              </c:strCache>
            </c:strRef>
          </c:tx>
          <c:xVal>
            <c:numRef>
              <c:f>Sheet1!$I$3:$I$33</c:f>
              <c:numCache>
                <c:formatCode>_("$"* #,##0.00_);_("$"* \(#,##0.00\);_("$"* "-"??_);_(@_)</c:formatCode>
                <c:ptCount val="3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  <c:pt idx="20">
                  <c:v>110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</c:numCache>
            </c:numRef>
          </c:xVal>
          <c:yVal>
            <c:numRef>
              <c:f>Sheet1!$L$3:$L$33</c:f>
              <c:numCache>
                <c:formatCode>_("$"* #,##0.00_);_("$"* \(#,##0.00\);_("$"*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A0-AC46-9CC6-EE00277EE4B0}"/>
            </c:ext>
          </c:extLst>
        </c:ser>
        <c:ser>
          <c:idx val="3"/>
          <c:order val="3"/>
          <c:tx>
            <c:strRef>
              <c:f>Sheet1!$M$2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Sheet1!$I$3:$I$33</c:f>
              <c:numCache>
                <c:formatCode>_("$"* #,##0.00_);_("$"* \(#,##0.00\);_("$"* "-"??_);_(@_)</c:formatCode>
                <c:ptCount val="3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  <c:pt idx="20">
                  <c:v>110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</c:numCache>
            </c:numRef>
          </c:xVal>
          <c:yVal>
            <c:numRef>
              <c:f>Sheet1!$M$3:$M$33</c:f>
              <c:numCache>
                <c:formatCode>_("$"* #,##0.00_);_("$"* \(#,##0.00\);_("$"*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A0-AC46-9CC6-EE00277EE4B0}"/>
            </c:ext>
          </c:extLst>
        </c:ser>
        <c:ser>
          <c:idx val="4"/>
          <c:order val="4"/>
          <c:tx>
            <c:strRef>
              <c:f>Sheet1!$N$2</c:f>
              <c:strCache>
                <c:ptCount val="1"/>
                <c:pt idx="0">
                  <c:v>2</c:v>
                </c:pt>
              </c:strCache>
            </c:strRef>
          </c:tx>
          <c:xVal>
            <c:numRef>
              <c:f>Sheet1!$I$3:$I$33</c:f>
              <c:numCache>
                <c:formatCode>_("$"* #,##0.00_);_("$"* \(#,##0.00\);_("$"* "-"??_);_(@_)</c:formatCode>
                <c:ptCount val="3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  <c:pt idx="20">
                  <c:v>110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</c:numCache>
            </c:numRef>
          </c:xVal>
          <c:yVal>
            <c:numRef>
              <c:f>Sheet1!$N$3:$N$33</c:f>
              <c:numCache>
                <c:formatCode>_("$"* #,##0.00_);_("$"* \(#,##0.00\);_("$"*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5A0-AC46-9CC6-EE00277EE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680640"/>
        <c:axId val="103702912"/>
      </c:scatterChart>
      <c:valAx>
        <c:axId val="103680640"/>
        <c:scaling>
          <c:orientation val="minMax"/>
          <c:max val="120"/>
          <c:min val="90"/>
        </c:scaling>
        <c:delete val="0"/>
        <c:axPos val="b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103702912"/>
        <c:crosses val="autoZero"/>
        <c:crossBetween val="midCat"/>
      </c:valAx>
      <c:valAx>
        <c:axId val="103702912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103680640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2516297262059972"/>
          <c:y val="0.17136722445749514"/>
          <c:w val="0.37490663080413522"/>
          <c:h val="9.7733960317863189E-2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7</xdr:row>
      <xdr:rowOff>57150</xdr:rowOff>
    </xdr:from>
    <xdr:to>
      <xdr:col>10</xdr:col>
      <xdr:colOff>581025</xdr:colOff>
      <xdr:row>30</xdr:row>
      <xdr:rowOff>147637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Peter_2/AppData/Roaming/Microsoft/AddIns/Black%20Scholes%20Pricing%20Function%20Add-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r"/>
      <sheetName val="Pricer with Names"/>
      <sheetName val="Pricer Protected"/>
      <sheetName val="Pricer with Function"/>
      <sheetName val="Chart1"/>
      <sheetName val="Chart2"/>
      <sheetName val="Surface"/>
      <sheetName val="Sheet3"/>
      <sheetName val="Black Scholes Pricing Function "/>
    </sheetNames>
    <definedNames>
      <definedName name="BSOptionPricer"/>
    </definedNames>
    <sheetDataSet>
      <sheetData sheetId="0"/>
      <sheetData sheetId="1"/>
      <sheetData sheetId="2"/>
      <sheetData sheetId="3"/>
      <sheetData sheetId="4" refreshError="1"/>
      <sheetData sheetId="5" refreshError="1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10"/>
  <sheetViews>
    <sheetView workbookViewId="0">
      <selection activeCell="G13" sqref="G13"/>
    </sheetView>
  </sheetViews>
  <sheetFormatPr baseColWidth="10" defaultColWidth="8.83203125" defaultRowHeight="15" x14ac:dyDescent="0.2"/>
  <cols>
    <col min="1" max="1" width="18" bestFit="1" customWidth="1"/>
    <col min="2" max="2" width="18" customWidth="1"/>
    <col min="3" max="3" width="19.5" bestFit="1" customWidth="1"/>
    <col min="4" max="4" width="17" customWidth="1"/>
    <col min="5" max="5" width="18.5" bestFit="1" customWidth="1"/>
    <col min="6" max="6" width="18.5" customWidth="1"/>
  </cols>
  <sheetData>
    <row r="2" spans="1:10" ht="24" x14ac:dyDescent="0.3">
      <c r="A2" s="17" t="s">
        <v>0</v>
      </c>
      <c r="B2" s="17"/>
      <c r="C2" s="17"/>
      <c r="D2" s="17"/>
      <c r="E2" s="17"/>
      <c r="F2" s="17"/>
    </row>
    <row r="4" spans="1:10" ht="19" x14ac:dyDescent="0.25">
      <c r="A4" s="1" t="s">
        <v>1</v>
      </c>
      <c r="B4" s="1"/>
      <c r="C4" s="1" t="s">
        <v>3</v>
      </c>
      <c r="D4" s="1"/>
      <c r="E4" s="18" t="s">
        <v>5</v>
      </c>
      <c r="F4" s="18"/>
      <c r="I4" t="s">
        <v>13</v>
      </c>
      <c r="J4">
        <f>(LN(B5/D6) + (D8-B7+B6^2/2)*D7)/(B6*SQRT(D7))</f>
        <v>-0.21624071921729957</v>
      </c>
    </row>
    <row r="5" spans="1:10" x14ac:dyDescent="0.2">
      <c r="A5" t="s">
        <v>2</v>
      </c>
      <c r="B5" s="2">
        <v>100</v>
      </c>
      <c r="C5" t="s">
        <v>17</v>
      </c>
      <c r="D5" t="s">
        <v>18</v>
      </c>
      <c r="E5" t="s">
        <v>10</v>
      </c>
      <c r="F5" s="6">
        <f>IF(D5="c",J6*B5*EXP(-B7*D7)-J7*D6*EXP(-D8*D7),D6*EXP(-D8*D7)*(1-J7)-(1-J6)*B5*EXP(-B7*D7))</f>
        <v>15.285307989079179</v>
      </c>
      <c r="I5" t="s">
        <v>14</v>
      </c>
      <c r="J5">
        <f>J4-B6*SQRT(D7)</f>
        <v>-0.46624071921729959</v>
      </c>
    </row>
    <row r="6" spans="1:10" x14ac:dyDescent="0.2">
      <c r="A6" t="s">
        <v>6</v>
      </c>
      <c r="B6" s="3">
        <v>0.25</v>
      </c>
      <c r="C6" t="s">
        <v>4</v>
      </c>
      <c r="D6" s="4">
        <v>110</v>
      </c>
      <c r="F6" s="16" t="s">
        <v>28</v>
      </c>
      <c r="I6" t="s">
        <v>15</v>
      </c>
      <c r="J6">
        <f>_xlfn.NORM.S.DIST(J4,TRUE)</f>
        <v>0.41440005748005249</v>
      </c>
    </row>
    <row r="7" spans="1:10" x14ac:dyDescent="0.2">
      <c r="A7" t="s">
        <v>9</v>
      </c>
      <c r="B7" s="3">
        <v>0.01</v>
      </c>
      <c r="C7" t="s">
        <v>7</v>
      </c>
      <c r="D7" s="5">
        <v>1</v>
      </c>
      <c r="I7" t="s">
        <v>16</v>
      </c>
      <c r="J7">
        <f>_xlfn.NORM.S.DIST(J5,TRUE)</f>
        <v>0.32052160298313204</v>
      </c>
    </row>
    <row r="8" spans="1:10" x14ac:dyDescent="0.2">
      <c r="C8" t="s">
        <v>8</v>
      </c>
      <c r="D8" s="3">
        <v>0.02</v>
      </c>
    </row>
    <row r="9" spans="1:10" x14ac:dyDescent="0.2">
      <c r="I9" s="16" t="s">
        <v>27</v>
      </c>
    </row>
    <row r="10" spans="1:10" x14ac:dyDescent="0.2">
      <c r="I10" s="16" t="s">
        <v>26</v>
      </c>
    </row>
  </sheetData>
  <mergeCells count="2">
    <mergeCell ref="A2:F2"/>
    <mergeCell ref="E4:F4"/>
  </mergeCells>
  <phoneticPr fontId="7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K12"/>
  <sheetViews>
    <sheetView workbookViewId="0">
      <selection activeCell="F8" sqref="F8"/>
    </sheetView>
  </sheetViews>
  <sheetFormatPr baseColWidth="10" defaultColWidth="8.83203125" defaultRowHeight="15" x14ac:dyDescent="0.2"/>
  <cols>
    <col min="1" max="1" width="18" bestFit="1" customWidth="1"/>
    <col min="2" max="2" width="18" customWidth="1"/>
    <col min="3" max="3" width="19.5" bestFit="1" customWidth="1"/>
    <col min="4" max="4" width="17" customWidth="1"/>
    <col min="5" max="5" width="18.5" bestFit="1" customWidth="1"/>
    <col min="6" max="6" width="18.5" customWidth="1"/>
  </cols>
  <sheetData>
    <row r="2" spans="1:11" ht="24" x14ac:dyDescent="0.3">
      <c r="A2" s="17" t="s">
        <v>0</v>
      </c>
      <c r="B2" s="17"/>
      <c r="C2" s="17"/>
      <c r="D2" s="17"/>
      <c r="E2" s="17"/>
      <c r="F2" s="17"/>
    </row>
    <row r="3" spans="1:11" x14ac:dyDescent="0.2">
      <c r="K3" t="s">
        <v>20</v>
      </c>
    </row>
    <row r="4" spans="1:11" ht="19" x14ac:dyDescent="0.25">
      <c r="A4" s="1" t="s">
        <v>1</v>
      </c>
      <c r="B4" s="1"/>
      <c r="C4" s="1" t="s">
        <v>3</v>
      </c>
      <c r="D4" s="1"/>
      <c r="E4" s="18" t="s">
        <v>5</v>
      </c>
      <c r="F4" s="18"/>
      <c r="I4" t="s">
        <v>13</v>
      </c>
      <c r="J4">
        <f>(LN(B5/D6) + (D8-B7+B6^2/2)*D7)/(B6*SQRT(D7))</f>
        <v>-0.39419890550273584</v>
      </c>
      <c r="K4">
        <f>(LN(SPrice/Strike) +(ir-divyld+sigma^2/2)*t)/(sigma * SQRT(t))</f>
        <v>-0.39419890550273584</v>
      </c>
    </row>
    <row r="5" spans="1:11" x14ac:dyDescent="0.2">
      <c r="A5" t="s">
        <v>2</v>
      </c>
      <c r="B5" s="2">
        <v>100</v>
      </c>
      <c r="C5" t="s">
        <v>17</v>
      </c>
      <c r="D5" t="s">
        <v>18</v>
      </c>
      <c r="E5" t="s">
        <v>10</v>
      </c>
      <c r="F5" s="6">
        <f>IF(CallorPut = "c", norm1*SPrice*EXP(-divyld*t)-norm2*Strike*EXP(-ir*t), (1-norm2)*Strike*EXP(-ir*t) - (1-norm1)*SPrice*EXP(-divyld*t))</f>
        <v>12.647153423102992</v>
      </c>
      <c r="I5" t="s">
        <v>14</v>
      </c>
      <c r="J5">
        <f>J4-B6*SQRT(D7)</f>
        <v>-0.57097560079937271</v>
      </c>
      <c r="K5">
        <f>K4-sigma*SQRT(t)</f>
        <v>-0.57097560079937271</v>
      </c>
    </row>
    <row r="6" spans="1:11" x14ac:dyDescent="0.2">
      <c r="A6" t="s">
        <v>6</v>
      </c>
      <c r="B6" s="3">
        <v>0.25</v>
      </c>
      <c r="C6" t="s">
        <v>4</v>
      </c>
      <c r="D6" s="4">
        <v>110</v>
      </c>
      <c r="E6" t="s">
        <v>11</v>
      </c>
      <c r="F6" s="3">
        <f>IF(CallorPut="c",norm1,norm1-1)</f>
        <v>-0.65328290315413251</v>
      </c>
      <c r="I6" t="s">
        <v>15</v>
      </c>
      <c r="J6">
        <f>_xlfn.NORM.S.DIST(J4,TRUE)</f>
        <v>0.34671709684586749</v>
      </c>
      <c r="K6">
        <f>_xlfn.NORM.S.DIST(K4,TRUE)</f>
        <v>0.34671709684586749</v>
      </c>
    </row>
    <row r="7" spans="1:11" x14ac:dyDescent="0.2">
      <c r="A7" t="s">
        <v>9</v>
      </c>
      <c r="B7" s="3">
        <v>0</v>
      </c>
      <c r="C7" t="s">
        <v>7</v>
      </c>
      <c r="D7" s="5">
        <v>0.5</v>
      </c>
      <c r="E7" t="s">
        <v>12</v>
      </c>
      <c r="F7" s="7">
        <f>norm1prime / (SPrice*EXP(-divyld*t) * sigma * SQRT(t))</f>
        <v>2.0880550396224523E-2</v>
      </c>
      <c r="I7" t="s">
        <v>16</v>
      </c>
      <c r="J7">
        <f>_xlfn.NORM.S.DIST(J5,TRUE)</f>
        <v>0.28400809112226844</v>
      </c>
      <c r="K7">
        <f>_xlfn.NORM.S.DIST(K5,TRUE)</f>
        <v>0.28400809112226844</v>
      </c>
    </row>
    <row r="8" spans="1:11" x14ac:dyDescent="0.2">
      <c r="C8" t="s">
        <v>8</v>
      </c>
      <c r="D8" s="3">
        <v>0.02</v>
      </c>
      <c r="E8" t="s">
        <v>23</v>
      </c>
      <c r="F8" s="8">
        <f>(-SPrice*EXP(-divyld*t)*norm1prime*sigma/(2*SQRT(t))+IF(CallorPut="c",ir*Strike*EXP(-ir*t)*norm2, ir*Strike*EXP(-ir*t)*(1-norm2)))/365</f>
        <v>-1.3604556504246135E-2</v>
      </c>
      <c r="I8" t="s">
        <v>21</v>
      </c>
      <c r="K8">
        <f>_xlfn.NORM.S.DIST(K4,FALSE)</f>
        <v>0.3691194695019453</v>
      </c>
    </row>
    <row r="9" spans="1:11" x14ac:dyDescent="0.2">
      <c r="E9" t="s">
        <v>24</v>
      </c>
      <c r="F9" s="8">
        <f>SPrice*EXP(-divyld*t)*norm1prime*SQRT(t)/100</f>
        <v>0.26100687995280658</v>
      </c>
      <c r="I9" t="s">
        <v>22</v>
      </c>
      <c r="K9">
        <f>_xlfn.NORM.S.DIST(K5,FALSE)</f>
        <v>0.33893561985859938</v>
      </c>
    </row>
    <row r="10" spans="1:11" x14ac:dyDescent="0.2">
      <c r="E10" t="s">
        <v>25</v>
      </c>
      <c r="F10" s="8">
        <f>IF(CallorPut="c",Strike*t*EXP(-ir*t)*norm2,-Strike*t*EXP(-ir*t)*(1-norm2))/100</f>
        <v>-0.38987721869258118</v>
      </c>
    </row>
    <row r="12" spans="1:11" x14ac:dyDescent="0.2">
      <c r="F12" s="16" t="s">
        <v>29</v>
      </c>
    </row>
  </sheetData>
  <mergeCells count="2">
    <mergeCell ref="A2:F2"/>
    <mergeCell ref="E4:F4"/>
  </mergeCells>
  <phoneticPr fontId="7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L15"/>
  <sheetViews>
    <sheetView workbookViewId="0">
      <selection activeCell="F12" sqref="F12"/>
    </sheetView>
  </sheetViews>
  <sheetFormatPr baseColWidth="10" defaultColWidth="8.83203125" defaultRowHeight="15" x14ac:dyDescent="0.2"/>
  <cols>
    <col min="1" max="1" width="18" bestFit="1" customWidth="1"/>
    <col min="2" max="2" width="18" customWidth="1"/>
    <col min="3" max="3" width="19.5" bestFit="1" customWidth="1"/>
    <col min="4" max="4" width="17" customWidth="1"/>
    <col min="5" max="5" width="18.5" bestFit="1" customWidth="1"/>
    <col min="6" max="6" width="18.5" customWidth="1"/>
    <col min="9" max="12" width="9.1640625" customWidth="1"/>
  </cols>
  <sheetData>
    <row r="2" spans="1:12" ht="24" x14ac:dyDescent="0.3">
      <c r="A2" s="17" t="s">
        <v>0</v>
      </c>
      <c r="B2" s="17"/>
      <c r="C2" s="17"/>
      <c r="D2" s="17"/>
      <c r="E2" s="17"/>
      <c r="F2" s="17"/>
    </row>
    <row r="3" spans="1:12" x14ac:dyDescent="0.2">
      <c r="I3" s="14"/>
      <c r="J3" s="14"/>
      <c r="K3" s="14" t="s">
        <v>20</v>
      </c>
      <c r="L3" s="14"/>
    </row>
    <row r="4" spans="1:12" ht="19" x14ac:dyDescent="0.25">
      <c r="A4" s="1" t="s">
        <v>1</v>
      </c>
      <c r="B4" s="1"/>
      <c r="C4" s="1" t="s">
        <v>3</v>
      </c>
      <c r="D4" s="1"/>
      <c r="E4" s="18" t="s">
        <v>5</v>
      </c>
      <c r="F4" s="18"/>
      <c r="I4" s="14" t="s">
        <v>13</v>
      </c>
      <c r="J4" s="14">
        <f>(LN(B5/D6) + (D8-B7+B6^2/2)*D7)/(B6*SQRT(D7))</f>
        <v>-9.3950820847160249E-2</v>
      </c>
      <c r="K4" s="14">
        <f>(LN(SPrice/Strike) +(ir-divyld+sigma^2/2)*t)/(sigma * SQRT(t))</f>
        <v>-9.3950820847160249E-2</v>
      </c>
      <c r="L4" s="14"/>
    </row>
    <row r="5" spans="1:12" x14ac:dyDescent="0.2">
      <c r="A5" t="s">
        <v>2</v>
      </c>
      <c r="B5" s="9">
        <v>100</v>
      </c>
      <c r="C5" t="s">
        <v>17</v>
      </c>
      <c r="D5" s="11" t="s">
        <v>19</v>
      </c>
      <c r="E5" t="s">
        <v>10</v>
      </c>
      <c r="F5" s="6">
        <f>IF(CallorPut = "c", norm1*SPrice*EXP(-divyld*t)-norm2*Strike*EXP(-ir*t), (1-norm2)*Strike*EXP(-ir*t) - (1-norm1)*SPrice*EXP(-divyld*t))</f>
        <v>6.2345958094983303</v>
      </c>
      <c r="I5" s="14" t="s">
        <v>14</v>
      </c>
      <c r="J5" s="14">
        <f>J4-B6*SQRT(D7)</f>
        <v>-0.29395082084716029</v>
      </c>
      <c r="K5" s="14">
        <f>K4-sigma*SQRT(t)</f>
        <v>-0.29395082084716029</v>
      </c>
      <c r="L5" s="14"/>
    </row>
    <row r="6" spans="1:12" x14ac:dyDescent="0.2">
      <c r="A6" t="s">
        <v>6</v>
      </c>
      <c r="B6" s="10">
        <v>0.2</v>
      </c>
      <c r="C6" t="s">
        <v>4</v>
      </c>
      <c r="D6" s="12">
        <v>105</v>
      </c>
      <c r="E6" t="s">
        <v>11</v>
      </c>
      <c r="F6" s="3">
        <f>IF(CallorPut="c",norm1,norm1-1)</f>
        <v>0.46257411156882894</v>
      </c>
      <c r="I6" s="14" t="s">
        <v>15</v>
      </c>
      <c r="J6" s="14">
        <f>_xlfn.NORM.S.DIST(J4,TRUE)</f>
        <v>0.46257411156882894</v>
      </c>
      <c r="K6" s="14">
        <f>_xlfn.NORM.S.DIST(K4,TRUE)</f>
        <v>0.46257411156882894</v>
      </c>
      <c r="L6" s="14"/>
    </row>
    <row r="7" spans="1:12" x14ac:dyDescent="0.2">
      <c r="A7" t="s">
        <v>9</v>
      </c>
      <c r="B7" s="10">
        <v>0.01</v>
      </c>
      <c r="C7" t="s">
        <v>7</v>
      </c>
      <c r="D7" s="13">
        <v>1</v>
      </c>
      <c r="E7" t="s">
        <v>12</v>
      </c>
      <c r="F7" s="7">
        <f>norm1prime / (SPrice*EXP(-divyld*t) * sigma * SQRT(t))</f>
        <v>2.0058862857326231E-2</v>
      </c>
      <c r="I7" s="14" t="s">
        <v>16</v>
      </c>
      <c r="J7" s="14">
        <f>_xlfn.NORM.S.DIST(J5,TRUE)</f>
        <v>0.38439774160490708</v>
      </c>
      <c r="K7" s="14">
        <f>_xlfn.NORM.S.DIST(K5,TRUE)</f>
        <v>0.38439774160490708</v>
      </c>
      <c r="L7" s="14"/>
    </row>
    <row r="8" spans="1:12" x14ac:dyDescent="0.2">
      <c r="C8" t="s">
        <v>8</v>
      </c>
      <c r="D8" s="10">
        <v>0.02</v>
      </c>
      <c r="E8" t="s">
        <v>23</v>
      </c>
      <c r="F8" s="8">
        <f>(-SPrice*EXP(-divyld*t)*norm1prime*sigma/(2*SQRT(t))+IF(CallorPut="c",ir*Strike*EXP(-ir*t)*norm2, ir*Strike*EXP(-ir*t)*(1-norm2)))/365</f>
        <v>-8.605707462569466E-3</v>
      </c>
      <c r="I8" s="14" t="s">
        <v>21</v>
      </c>
      <c r="J8" s="14"/>
      <c r="K8" s="14">
        <f>_xlfn.NORM.S.DIST(K4,FALSE)</f>
        <v>0.397185476741864</v>
      </c>
      <c r="L8" s="14"/>
    </row>
    <row r="9" spans="1:12" x14ac:dyDescent="0.2">
      <c r="E9" t="s">
        <v>24</v>
      </c>
      <c r="F9" s="8">
        <f>SPrice*EXP(-divyld*t)*norm1prime*SQRT(t)/100</f>
        <v>0.39323341521586647</v>
      </c>
      <c r="I9" s="14" t="s">
        <v>22</v>
      </c>
      <c r="J9" s="14"/>
      <c r="K9" s="14">
        <f>_xlfn.NORM.S.DIST(K5,FALSE)</f>
        <v>0.38207357823478538</v>
      </c>
      <c r="L9" s="14"/>
    </row>
    <row r="10" spans="1:12" x14ac:dyDescent="0.2">
      <c r="E10" t="s">
        <v>25</v>
      </c>
      <c r="F10" s="8">
        <f>IF(CallorPut="c",Strike*t*EXP(-ir*t)*norm2,-Strike*t*EXP(-ir*t)*(1-norm2))/100</f>
        <v>0.39562546416040495</v>
      </c>
    </row>
    <row r="13" spans="1:12" x14ac:dyDescent="0.2">
      <c r="E13" s="16" t="s">
        <v>30</v>
      </c>
    </row>
    <row r="14" spans="1:12" x14ac:dyDescent="0.2">
      <c r="E14" s="16" t="s">
        <v>31</v>
      </c>
    </row>
    <row r="15" spans="1:12" x14ac:dyDescent="0.2">
      <c r="E15" s="16" t="s">
        <v>32</v>
      </c>
    </row>
  </sheetData>
  <sheetProtection sheet="1" objects="1" scenarios="1"/>
  <mergeCells count="2">
    <mergeCell ref="A2:F2"/>
    <mergeCell ref="E4:F4"/>
  </mergeCells>
  <phoneticPr fontId="7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:M21"/>
  <sheetViews>
    <sheetView tabSelected="1" workbookViewId="0">
      <selection activeCell="F17" sqref="F17"/>
    </sheetView>
  </sheetViews>
  <sheetFormatPr baseColWidth="10" defaultColWidth="8.83203125" defaultRowHeight="15" x14ac:dyDescent="0.2"/>
  <cols>
    <col min="1" max="1" width="18" bestFit="1" customWidth="1"/>
    <col min="2" max="2" width="18" customWidth="1"/>
    <col min="3" max="3" width="19.5" bestFit="1" customWidth="1"/>
    <col min="4" max="4" width="17" customWidth="1"/>
    <col min="5" max="5" width="18.5" bestFit="1" customWidth="1"/>
    <col min="6" max="6" width="18.5" customWidth="1"/>
  </cols>
  <sheetData>
    <row r="2" spans="1:13" ht="24" x14ac:dyDescent="0.3">
      <c r="A2" s="17" t="s">
        <v>0</v>
      </c>
      <c r="B2" s="17"/>
      <c r="C2" s="17"/>
      <c r="D2" s="17"/>
      <c r="E2" s="17"/>
      <c r="F2" s="17"/>
    </row>
    <row r="3" spans="1:13" x14ac:dyDescent="0.2">
      <c r="K3" t="s">
        <v>20</v>
      </c>
    </row>
    <row r="4" spans="1:13" ht="19" x14ac:dyDescent="0.25">
      <c r="A4" s="1" t="s">
        <v>1</v>
      </c>
      <c r="B4" s="1"/>
      <c r="C4" s="1" t="s">
        <v>3</v>
      </c>
      <c r="D4" s="1"/>
      <c r="E4" s="18" t="s">
        <v>5</v>
      </c>
      <c r="F4" s="18"/>
      <c r="I4" t="s">
        <v>13</v>
      </c>
      <c r="J4">
        <f>(LN(B5/D6) + (D8-B7+B6^2/2)*D7)/(B6*SQRT(D7))</f>
        <v>-9.3950820847160249E-2</v>
      </c>
      <c r="K4">
        <f>(LN(SPrice/Strike) +(ir-divyld+sigma^2/2)*t)/(sigma * SQRT(t))</f>
        <v>-9.3950820847160249E-2</v>
      </c>
    </row>
    <row r="5" spans="1:13" x14ac:dyDescent="0.2">
      <c r="A5" t="s">
        <v>2</v>
      </c>
      <c r="B5" s="2">
        <v>100</v>
      </c>
      <c r="C5" t="s">
        <v>17</v>
      </c>
      <c r="D5" t="s">
        <v>45</v>
      </c>
      <c r="E5" t="s">
        <v>10</v>
      </c>
      <c r="F5" s="6">
        <f>IF(CallorPut = "c", norm1*SPrice*EXP(-divyld*t)-norm2*Strike*EXP(-ir*t), (1-norm2)*Strike*EXP(-ir*t) - (1-norm1)*SPrice*EXP(-divyld*t))</f>
        <v>6.2345958094983303</v>
      </c>
      <c r="I5" t="s">
        <v>14</v>
      </c>
      <c r="J5">
        <f>J4-B6*SQRT(D7)</f>
        <v>-0.29395082084716029</v>
      </c>
      <c r="K5">
        <f>K4-sigma*SQRT(t)</f>
        <v>-0.29395082084716029</v>
      </c>
    </row>
    <row r="6" spans="1:13" x14ac:dyDescent="0.2">
      <c r="A6" t="s">
        <v>6</v>
      </c>
      <c r="B6" s="3">
        <v>0.2</v>
      </c>
      <c r="C6" t="s">
        <v>4</v>
      </c>
      <c r="D6" s="4">
        <v>105</v>
      </c>
      <c r="E6" t="s">
        <v>11</v>
      </c>
      <c r="F6" s="3">
        <f>IF(CallorPut="c",norm1,norm1-1)*EXP(-divyld*t)</f>
        <v>0.45797142225538823</v>
      </c>
      <c r="I6" t="s">
        <v>15</v>
      </c>
      <c r="J6">
        <f>_xlfn.NORM.S.DIST(J4,TRUE)</f>
        <v>0.46257411156882894</v>
      </c>
      <c r="K6">
        <f>_xlfn.NORM.S.DIST(K4,TRUE)</f>
        <v>0.46257411156882894</v>
      </c>
      <c r="M6">
        <f>NORMSDIST(norm1)</f>
        <v>0.67816516565046236</v>
      </c>
    </row>
    <row r="7" spans="1:13" x14ac:dyDescent="0.2">
      <c r="A7" t="s">
        <v>9</v>
      </c>
      <c r="B7" s="3">
        <v>0.01</v>
      </c>
      <c r="C7" t="s">
        <v>7</v>
      </c>
      <c r="D7" s="5">
        <v>1</v>
      </c>
      <c r="E7" t="s">
        <v>12</v>
      </c>
      <c r="F7" s="3">
        <f>norm1prime *EXP(-divyld*t) / (SPrice* sigma * SQRT(t))</f>
        <v>1.9661670760793327E-2</v>
      </c>
      <c r="I7" t="s">
        <v>16</v>
      </c>
      <c r="J7">
        <f>_xlfn.NORM.S.DIST(J5,TRUE)</f>
        <v>0.38439774160490708</v>
      </c>
      <c r="K7">
        <f>_xlfn.NORM.S.DIST(K5,TRUE)</f>
        <v>0.38439774160490708</v>
      </c>
      <c r="M7">
        <f>NORMSDIST(K5)</f>
        <v>0.38439774160490708</v>
      </c>
    </row>
    <row r="8" spans="1:13" x14ac:dyDescent="0.2">
      <c r="C8" t="s">
        <v>8</v>
      </c>
      <c r="D8" s="3">
        <v>0.02</v>
      </c>
      <c r="E8" t="s">
        <v>23</v>
      </c>
      <c r="F8" s="3">
        <f>(-SPrice*EXP(-divyld*t)*norm1prime*sigma/(2*SQRT(t))+IF(CallorPut="c",-ir*Strike*EXP(-ir*t)*norm2+divyld*SPrice*EXP(-divyld*t)*norm1, ir*Strike*EXP(-ir*t)*(1-norm2)-divyld*SPrice*EXP(-divyld*t)*(1-norm1)))/365</f>
        <v>-1.1686612762257772E-2</v>
      </c>
      <c r="I8" t="s">
        <v>21</v>
      </c>
      <c r="K8">
        <f>_xlfn.NORM.S.DIST(K4,FALSE)</f>
        <v>0.397185476741864</v>
      </c>
    </row>
    <row r="9" spans="1:13" x14ac:dyDescent="0.2">
      <c r="E9" t="s">
        <v>24</v>
      </c>
      <c r="F9" s="3">
        <f>SPrice*EXP(-divyld*t)*norm1prime*SQRT(t)/100</f>
        <v>0.39323341521586647</v>
      </c>
      <c r="I9" t="s">
        <v>22</v>
      </c>
      <c r="K9">
        <f>_xlfn.NORM.S.DIST(K5,FALSE)</f>
        <v>0.38207357823478538</v>
      </c>
    </row>
    <row r="10" spans="1:13" x14ac:dyDescent="0.2">
      <c r="E10" t="s">
        <v>25</v>
      </c>
      <c r="F10" s="3">
        <f>IF(CallorPut="c",Strike*t*EXP(-ir*t)*norm2,-Strike*t*EXP(-ir*t)*(1-norm2))/100</f>
        <v>0.39562546416040495</v>
      </c>
    </row>
    <row r="12" spans="1:13" x14ac:dyDescent="0.2">
      <c r="J12">
        <f>SPrice</f>
        <v>100</v>
      </c>
    </row>
    <row r="15" spans="1:13" ht="21" x14ac:dyDescent="0.25">
      <c r="E15" s="19" t="s">
        <v>36</v>
      </c>
      <c r="F15" s="19"/>
    </row>
    <row r="16" spans="1:13" x14ac:dyDescent="0.2">
      <c r="D16" t="s">
        <v>37</v>
      </c>
      <c r="E16">
        <f>BSOptionPricer(CallorPut,S,K,sigma,t,ir,divyld)</f>
        <v>10.150473131790811</v>
      </c>
      <c r="F16" s="15">
        <f>E16-F5</f>
        <v>3.9158773222924808</v>
      </c>
      <c r="G16" s="16" t="s">
        <v>33</v>
      </c>
    </row>
    <row r="17" spans="4:7" x14ac:dyDescent="0.2">
      <c r="D17" t="s">
        <v>38</v>
      </c>
      <c r="E17">
        <f>BSOptionDelta(CallorPut,S,K,sigma,t,ir,divyld)</f>
        <v>-0.53207841149377988</v>
      </c>
      <c r="F17" s="15">
        <f t="shared" ref="F17:F21" si="0">E17-F6</f>
        <v>-0.99004983374916811</v>
      </c>
      <c r="G17" s="16" t="s">
        <v>35</v>
      </c>
    </row>
    <row r="18" spans="4:7" x14ac:dyDescent="0.2">
      <c r="D18" t="s">
        <v>39</v>
      </c>
      <c r="E18">
        <f>BSOptionGamma(CallorPut,S,K,sigma,t,ir,divyld)</f>
        <v>1.9661670760793327E-2</v>
      </c>
      <c r="F18" s="15">
        <f t="shared" si="0"/>
        <v>0</v>
      </c>
      <c r="G18" s="16" t="s">
        <v>34</v>
      </c>
    </row>
    <row r="19" spans="4:7" x14ac:dyDescent="0.2">
      <c r="D19" t="s">
        <v>40</v>
      </c>
      <c r="E19">
        <f>BSOptionTheta(CallorPut,S,K,sigma,t,ir,divyld)</f>
        <v>-8.7595788439152576E-3</v>
      </c>
      <c r="F19" s="15">
        <f t="shared" si="0"/>
        <v>2.9270339183425139E-3</v>
      </c>
    </row>
    <row r="20" spans="4:7" x14ac:dyDescent="0.2">
      <c r="D20" t="s">
        <v>41</v>
      </c>
      <c r="E20">
        <f>BSOptionVega(CallorPut,S,K,sigma,t,ir,divyld)</f>
        <v>0.39323341521586647</v>
      </c>
      <c r="F20" s="15">
        <f t="shared" si="0"/>
        <v>0</v>
      </c>
    </row>
    <row r="21" spans="4:7" x14ac:dyDescent="0.2">
      <c r="D21" t="s">
        <v>42</v>
      </c>
      <c r="E21">
        <f>BSOptionRho(CallorPut,S,K,sigma,t,ir,divyld)</f>
        <v>-0.63358314281168804</v>
      </c>
      <c r="F21" s="15">
        <f t="shared" si="0"/>
        <v>-1.0292086069720929</v>
      </c>
    </row>
  </sheetData>
  <mergeCells count="3">
    <mergeCell ref="A2:F2"/>
    <mergeCell ref="E4:F4"/>
    <mergeCell ref="E15:F15"/>
  </mergeCells>
  <phoneticPr fontId="7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N33"/>
  <sheetViews>
    <sheetView topLeftCell="A13" workbookViewId="0">
      <selection activeCell="A15" sqref="A15"/>
    </sheetView>
  </sheetViews>
  <sheetFormatPr baseColWidth="10" defaultColWidth="8.83203125" defaultRowHeight="15" x14ac:dyDescent="0.2"/>
  <cols>
    <col min="2" max="2" width="13.6640625" bestFit="1" customWidth="1"/>
    <col min="4" max="4" width="19.5" bestFit="1" customWidth="1"/>
    <col min="5" max="5" width="9" bestFit="1" customWidth="1"/>
    <col min="9" max="9" width="10.5" bestFit="1" customWidth="1"/>
  </cols>
  <sheetData>
    <row r="1" spans="2:14" x14ac:dyDescent="0.2">
      <c r="J1" s="20" t="s">
        <v>7</v>
      </c>
      <c r="K1" s="20"/>
      <c r="L1" s="20"/>
      <c r="M1" s="20"/>
      <c r="N1" s="20"/>
    </row>
    <row r="2" spans="2:14" x14ac:dyDescent="0.2">
      <c r="B2" t="s">
        <v>43</v>
      </c>
      <c r="D2" t="s">
        <v>17</v>
      </c>
      <c r="E2" t="s">
        <v>19</v>
      </c>
      <c r="I2" t="s">
        <v>44</v>
      </c>
      <c r="J2">
        <v>0</v>
      </c>
      <c r="K2">
        <v>0.1</v>
      </c>
      <c r="L2">
        <v>0.5</v>
      </c>
      <c r="M2">
        <v>1</v>
      </c>
      <c r="N2">
        <v>2</v>
      </c>
    </row>
    <row r="3" spans="2:14" x14ac:dyDescent="0.2">
      <c r="D3" t="s">
        <v>4</v>
      </c>
      <c r="E3" s="4">
        <v>105</v>
      </c>
      <c r="I3" s="2">
        <v>90</v>
      </c>
      <c r="J3" s="2">
        <f>IF($E$2="c", MAX(0,$I3-$E$3),MAX(0,$E$3-$I3))</f>
        <v>0</v>
      </c>
      <c r="K3" s="2" t="e">
        <f t="shared" ref="K3:N18" ca="1" si="0">[1]!BSOptionPricer($E$2,$I3,$E$3,$E$5,K$2,$E$4,$E$6)</f>
        <v>#NAME?</v>
      </c>
      <c r="L3" s="2" t="e">
        <f t="shared" ca="1" si="0"/>
        <v>#NAME?</v>
      </c>
      <c r="M3" s="2" t="e">
        <f t="shared" ca="1" si="0"/>
        <v>#NAME?</v>
      </c>
      <c r="N3" s="2" t="e">
        <f t="shared" ca="1" si="0"/>
        <v>#NAME?</v>
      </c>
    </row>
    <row r="4" spans="2:14" x14ac:dyDescent="0.2">
      <c r="D4" t="s">
        <v>8</v>
      </c>
      <c r="E4" s="3">
        <v>0.02</v>
      </c>
      <c r="I4" s="2">
        <v>91</v>
      </c>
      <c r="J4" s="2">
        <f t="shared" ref="J4:J33" si="1">IF($E$2="c", MAX(0,$I4-$E$3),MAX(0,$E$3-$I4))</f>
        <v>0</v>
      </c>
      <c r="K4" s="2" t="e">
        <f t="shared" ca="1" si="0"/>
        <v>#NAME?</v>
      </c>
      <c r="L4" s="2" t="e">
        <f t="shared" ca="1" si="0"/>
        <v>#NAME?</v>
      </c>
      <c r="M4" s="2" t="e">
        <f t="shared" ca="1" si="0"/>
        <v>#NAME?</v>
      </c>
      <c r="N4" s="2" t="e">
        <f t="shared" ca="1" si="0"/>
        <v>#NAME?</v>
      </c>
    </row>
    <row r="5" spans="2:14" x14ac:dyDescent="0.2">
      <c r="D5" t="s">
        <v>6</v>
      </c>
      <c r="E5" s="3">
        <v>0.2</v>
      </c>
      <c r="I5" s="2">
        <v>92</v>
      </c>
      <c r="J5" s="2">
        <f t="shared" si="1"/>
        <v>0</v>
      </c>
      <c r="K5" s="2" t="e">
        <f t="shared" ca="1" si="0"/>
        <v>#NAME?</v>
      </c>
      <c r="L5" s="2" t="e">
        <f t="shared" ca="1" si="0"/>
        <v>#NAME?</v>
      </c>
      <c r="M5" s="2" t="e">
        <f t="shared" ca="1" si="0"/>
        <v>#NAME?</v>
      </c>
      <c r="N5" s="2" t="e">
        <f t="shared" ca="1" si="0"/>
        <v>#NAME?</v>
      </c>
    </row>
    <row r="6" spans="2:14" x14ac:dyDescent="0.2">
      <c r="D6" t="s">
        <v>9</v>
      </c>
      <c r="E6" s="3">
        <v>0.01</v>
      </c>
      <c r="I6" s="2">
        <v>93</v>
      </c>
      <c r="J6" s="2">
        <f t="shared" si="1"/>
        <v>0</v>
      </c>
      <c r="K6" s="2" t="e">
        <f t="shared" ca="1" si="0"/>
        <v>#NAME?</v>
      </c>
      <c r="L6" s="2" t="e">
        <f t="shared" ca="1" si="0"/>
        <v>#NAME?</v>
      </c>
      <c r="M6" s="2" t="e">
        <f t="shared" ca="1" si="0"/>
        <v>#NAME?</v>
      </c>
      <c r="N6" s="2" t="e">
        <f t="shared" ca="1" si="0"/>
        <v>#NAME?</v>
      </c>
    </row>
    <row r="7" spans="2:14" x14ac:dyDescent="0.2">
      <c r="I7" s="2">
        <v>94</v>
      </c>
      <c r="J7" s="2">
        <f t="shared" si="1"/>
        <v>0</v>
      </c>
      <c r="K7" s="2" t="e">
        <f t="shared" ca="1" si="0"/>
        <v>#NAME?</v>
      </c>
      <c r="L7" s="2" t="e">
        <f t="shared" ca="1" si="0"/>
        <v>#NAME?</v>
      </c>
      <c r="M7" s="2" t="e">
        <f t="shared" ca="1" si="0"/>
        <v>#NAME?</v>
      </c>
      <c r="N7" s="2" t="e">
        <f t="shared" ca="1" si="0"/>
        <v>#NAME?</v>
      </c>
    </row>
    <row r="8" spans="2:14" x14ac:dyDescent="0.2">
      <c r="I8" s="2">
        <v>95</v>
      </c>
      <c r="J8" s="2">
        <f t="shared" si="1"/>
        <v>0</v>
      </c>
      <c r="K8" s="2" t="e">
        <f t="shared" ca="1" si="0"/>
        <v>#NAME?</v>
      </c>
      <c r="L8" s="2" t="e">
        <f t="shared" ca="1" si="0"/>
        <v>#NAME?</v>
      </c>
      <c r="M8" s="2" t="e">
        <f t="shared" ca="1" si="0"/>
        <v>#NAME?</v>
      </c>
      <c r="N8" s="2" t="e">
        <f t="shared" ca="1" si="0"/>
        <v>#NAME?</v>
      </c>
    </row>
    <row r="9" spans="2:14" x14ac:dyDescent="0.2">
      <c r="I9" s="2">
        <v>96</v>
      </c>
      <c r="J9" s="2">
        <f t="shared" si="1"/>
        <v>0</v>
      </c>
      <c r="K9" s="2" t="e">
        <f t="shared" ca="1" si="0"/>
        <v>#NAME?</v>
      </c>
      <c r="L9" s="2" t="e">
        <f t="shared" ca="1" si="0"/>
        <v>#NAME?</v>
      </c>
      <c r="M9" s="2" t="e">
        <f t="shared" ca="1" si="0"/>
        <v>#NAME?</v>
      </c>
      <c r="N9" s="2" t="e">
        <f t="shared" ca="1" si="0"/>
        <v>#NAME?</v>
      </c>
    </row>
    <row r="10" spans="2:14" x14ac:dyDescent="0.2">
      <c r="I10" s="2">
        <v>97</v>
      </c>
      <c r="J10" s="2">
        <f t="shared" si="1"/>
        <v>0</v>
      </c>
      <c r="K10" s="2" t="e">
        <f t="shared" ca="1" si="0"/>
        <v>#NAME?</v>
      </c>
      <c r="L10" s="2" t="e">
        <f t="shared" ca="1" si="0"/>
        <v>#NAME?</v>
      </c>
      <c r="M10" s="2" t="e">
        <f t="shared" ca="1" si="0"/>
        <v>#NAME?</v>
      </c>
      <c r="N10" s="2" t="e">
        <f t="shared" ca="1" si="0"/>
        <v>#NAME?</v>
      </c>
    </row>
    <row r="11" spans="2:14" x14ac:dyDescent="0.2">
      <c r="I11" s="2">
        <v>98</v>
      </c>
      <c r="J11" s="2">
        <f t="shared" si="1"/>
        <v>0</v>
      </c>
      <c r="K11" s="2" t="e">
        <f t="shared" ca="1" si="0"/>
        <v>#NAME?</v>
      </c>
      <c r="L11" s="2" t="e">
        <f t="shared" ca="1" si="0"/>
        <v>#NAME?</v>
      </c>
      <c r="M11" s="2" t="e">
        <f t="shared" ca="1" si="0"/>
        <v>#NAME?</v>
      </c>
      <c r="N11" s="2" t="e">
        <f t="shared" ca="1" si="0"/>
        <v>#NAME?</v>
      </c>
    </row>
    <row r="12" spans="2:14" x14ac:dyDescent="0.2">
      <c r="I12" s="2">
        <v>99</v>
      </c>
      <c r="J12" s="2">
        <f t="shared" si="1"/>
        <v>0</v>
      </c>
      <c r="K12" s="2" t="e">
        <f t="shared" ca="1" si="0"/>
        <v>#NAME?</v>
      </c>
      <c r="L12" s="2" t="e">
        <f t="shared" ca="1" si="0"/>
        <v>#NAME?</v>
      </c>
      <c r="M12" s="2" t="e">
        <f t="shared" ca="1" si="0"/>
        <v>#NAME?</v>
      </c>
      <c r="N12" s="2" t="e">
        <f t="shared" ca="1" si="0"/>
        <v>#NAME?</v>
      </c>
    </row>
    <row r="13" spans="2:14" x14ac:dyDescent="0.2">
      <c r="I13" s="2">
        <v>100</v>
      </c>
      <c r="J13" s="2">
        <f t="shared" si="1"/>
        <v>0</v>
      </c>
      <c r="K13" s="2" t="e">
        <f t="shared" ca="1" si="0"/>
        <v>#NAME?</v>
      </c>
      <c r="L13" s="2" t="e">
        <f t="shared" ca="1" si="0"/>
        <v>#NAME?</v>
      </c>
      <c r="M13" s="2" t="e">
        <f t="shared" ca="1" si="0"/>
        <v>#NAME?</v>
      </c>
      <c r="N13" s="2" t="e">
        <f t="shared" ca="1" si="0"/>
        <v>#NAME?</v>
      </c>
    </row>
    <row r="14" spans="2:14" x14ac:dyDescent="0.2">
      <c r="I14" s="2">
        <v>101</v>
      </c>
      <c r="J14" s="2">
        <f t="shared" si="1"/>
        <v>0</v>
      </c>
      <c r="K14" s="2" t="e">
        <f t="shared" ca="1" si="0"/>
        <v>#NAME?</v>
      </c>
      <c r="L14" s="2" t="e">
        <f t="shared" ca="1" si="0"/>
        <v>#NAME?</v>
      </c>
      <c r="M14" s="2" t="e">
        <f t="shared" ca="1" si="0"/>
        <v>#NAME?</v>
      </c>
      <c r="N14" s="2" t="e">
        <f t="shared" ca="1" si="0"/>
        <v>#NAME?</v>
      </c>
    </row>
    <row r="15" spans="2:14" x14ac:dyDescent="0.2">
      <c r="I15" s="2">
        <v>102</v>
      </c>
      <c r="J15" s="2">
        <f t="shared" si="1"/>
        <v>0</v>
      </c>
      <c r="K15" s="2" t="e">
        <f t="shared" ca="1" si="0"/>
        <v>#NAME?</v>
      </c>
      <c r="L15" s="2" t="e">
        <f t="shared" ca="1" si="0"/>
        <v>#NAME?</v>
      </c>
      <c r="M15" s="2" t="e">
        <f t="shared" ca="1" si="0"/>
        <v>#NAME?</v>
      </c>
      <c r="N15" s="2" t="e">
        <f t="shared" ca="1" si="0"/>
        <v>#NAME?</v>
      </c>
    </row>
    <row r="16" spans="2:14" x14ac:dyDescent="0.2">
      <c r="I16" s="2">
        <v>103</v>
      </c>
      <c r="J16" s="2">
        <f t="shared" si="1"/>
        <v>0</v>
      </c>
      <c r="K16" s="2" t="e">
        <f t="shared" ca="1" si="0"/>
        <v>#NAME?</v>
      </c>
      <c r="L16" s="2" t="e">
        <f t="shared" ca="1" si="0"/>
        <v>#NAME?</v>
      </c>
      <c r="M16" s="2" t="e">
        <f t="shared" ca="1" si="0"/>
        <v>#NAME?</v>
      </c>
      <c r="N16" s="2" t="e">
        <f t="shared" ca="1" si="0"/>
        <v>#NAME?</v>
      </c>
    </row>
    <row r="17" spans="9:14" x14ac:dyDescent="0.2">
      <c r="I17" s="2">
        <v>104</v>
      </c>
      <c r="J17" s="2">
        <f t="shared" si="1"/>
        <v>0</v>
      </c>
      <c r="K17" s="2" t="e">
        <f t="shared" ca="1" si="0"/>
        <v>#NAME?</v>
      </c>
      <c r="L17" s="2" t="e">
        <f t="shared" ca="1" si="0"/>
        <v>#NAME?</v>
      </c>
      <c r="M17" s="2" t="e">
        <f t="shared" ca="1" si="0"/>
        <v>#NAME?</v>
      </c>
      <c r="N17" s="2" t="e">
        <f t="shared" ca="1" si="0"/>
        <v>#NAME?</v>
      </c>
    </row>
    <row r="18" spans="9:14" x14ac:dyDescent="0.2">
      <c r="I18" s="2">
        <v>105</v>
      </c>
      <c r="J18" s="2">
        <f t="shared" si="1"/>
        <v>0</v>
      </c>
      <c r="K18" s="2" t="e">
        <f t="shared" ca="1" si="0"/>
        <v>#NAME?</v>
      </c>
      <c r="L18" s="2" t="e">
        <f t="shared" ca="1" si="0"/>
        <v>#NAME?</v>
      </c>
      <c r="M18" s="2" t="e">
        <f t="shared" ca="1" si="0"/>
        <v>#NAME?</v>
      </c>
      <c r="N18" s="2" t="e">
        <f t="shared" ca="1" si="0"/>
        <v>#NAME?</v>
      </c>
    </row>
    <row r="19" spans="9:14" x14ac:dyDescent="0.2">
      <c r="I19" s="2">
        <v>106</v>
      </c>
      <c r="J19" s="2">
        <f t="shared" si="1"/>
        <v>1</v>
      </c>
      <c r="K19" s="2" t="e">
        <f t="shared" ref="K19:N24" ca="1" si="2">[1]!BSOptionPricer($E$2,$I19,$E$3,$E$5,K$2,$E$4,$E$6)</f>
        <v>#NAME?</v>
      </c>
      <c r="L19" s="2" t="e">
        <f t="shared" ca="1" si="2"/>
        <v>#NAME?</v>
      </c>
      <c r="M19" s="2" t="e">
        <f t="shared" ca="1" si="2"/>
        <v>#NAME?</v>
      </c>
      <c r="N19" s="2" t="e">
        <f t="shared" ca="1" si="2"/>
        <v>#NAME?</v>
      </c>
    </row>
    <row r="20" spans="9:14" x14ac:dyDescent="0.2">
      <c r="I20" s="2">
        <v>107</v>
      </c>
      <c r="J20" s="2">
        <f t="shared" si="1"/>
        <v>2</v>
      </c>
      <c r="K20" s="2" t="e">
        <f t="shared" ca="1" si="2"/>
        <v>#NAME?</v>
      </c>
      <c r="L20" s="2" t="e">
        <f t="shared" ca="1" si="2"/>
        <v>#NAME?</v>
      </c>
      <c r="M20" s="2" t="e">
        <f t="shared" ca="1" si="2"/>
        <v>#NAME?</v>
      </c>
      <c r="N20" s="2" t="e">
        <f t="shared" ca="1" si="2"/>
        <v>#NAME?</v>
      </c>
    </row>
    <row r="21" spans="9:14" x14ac:dyDescent="0.2">
      <c r="I21" s="2">
        <v>108</v>
      </c>
      <c r="J21" s="2">
        <f t="shared" si="1"/>
        <v>3</v>
      </c>
      <c r="K21" s="2" t="e">
        <f t="shared" ca="1" si="2"/>
        <v>#NAME?</v>
      </c>
      <c r="L21" s="2" t="e">
        <f t="shared" ca="1" si="2"/>
        <v>#NAME?</v>
      </c>
      <c r="M21" s="2" t="e">
        <f t="shared" ca="1" si="2"/>
        <v>#NAME?</v>
      </c>
      <c r="N21" s="2" t="e">
        <f t="shared" ca="1" si="2"/>
        <v>#NAME?</v>
      </c>
    </row>
    <row r="22" spans="9:14" x14ac:dyDescent="0.2">
      <c r="I22" s="2">
        <v>109</v>
      </c>
      <c r="J22" s="2">
        <f t="shared" si="1"/>
        <v>4</v>
      </c>
      <c r="K22" s="2" t="e">
        <f t="shared" ca="1" si="2"/>
        <v>#NAME?</v>
      </c>
      <c r="L22" s="2" t="e">
        <f t="shared" ca="1" si="2"/>
        <v>#NAME?</v>
      </c>
      <c r="M22" s="2" t="e">
        <f t="shared" ca="1" si="2"/>
        <v>#NAME?</v>
      </c>
      <c r="N22" s="2" t="e">
        <f t="shared" ca="1" si="2"/>
        <v>#NAME?</v>
      </c>
    </row>
    <row r="23" spans="9:14" x14ac:dyDescent="0.2">
      <c r="I23" s="2">
        <v>110</v>
      </c>
      <c r="J23" s="2">
        <f t="shared" si="1"/>
        <v>5</v>
      </c>
      <c r="K23" s="2" t="e">
        <f t="shared" ca="1" si="2"/>
        <v>#NAME?</v>
      </c>
      <c r="L23" s="2" t="e">
        <f t="shared" ca="1" si="2"/>
        <v>#NAME?</v>
      </c>
      <c r="M23" s="2" t="e">
        <f t="shared" ca="1" si="2"/>
        <v>#NAME?</v>
      </c>
      <c r="N23" s="2" t="e">
        <f t="shared" ca="1" si="2"/>
        <v>#NAME?</v>
      </c>
    </row>
    <row r="24" spans="9:14" x14ac:dyDescent="0.2">
      <c r="I24" s="2">
        <v>111</v>
      </c>
      <c r="J24" s="2">
        <f t="shared" si="1"/>
        <v>6</v>
      </c>
      <c r="K24" s="2" t="e">
        <f t="shared" ca="1" si="2"/>
        <v>#NAME?</v>
      </c>
      <c r="L24" s="2" t="e">
        <f t="shared" ca="1" si="2"/>
        <v>#NAME?</v>
      </c>
      <c r="M24" s="2" t="e">
        <f t="shared" ca="1" si="2"/>
        <v>#NAME?</v>
      </c>
      <c r="N24" s="2" t="e">
        <f t="shared" ca="1" si="2"/>
        <v>#NAME?</v>
      </c>
    </row>
    <row r="25" spans="9:14" x14ac:dyDescent="0.2">
      <c r="I25" s="2">
        <v>112</v>
      </c>
      <c r="J25" s="2">
        <f t="shared" si="1"/>
        <v>7</v>
      </c>
      <c r="K25" s="2" t="e">
        <f t="shared" ref="K25:N33" ca="1" si="3">[1]!BSOptionPricer($E$2,$I25,$E$3,$E$5,K$2,$E$4,$E$6)</f>
        <v>#NAME?</v>
      </c>
      <c r="L25" s="2" t="e">
        <f t="shared" ca="1" si="3"/>
        <v>#NAME?</v>
      </c>
      <c r="M25" s="2" t="e">
        <f t="shared" ca="1" si="3"/>
        <v>#NAME?</v>
      </c>
      <c r="N25" s="2" t="e">
        <f t="shared" ca="1" si="3"/>
        <v>#NAME?</v>
      </c>
    </row>
    <row r="26" spans="9:14" x14ac:dyDescent="0.2">
      <c r="I26" s="2">
        <v>113</v>
      </c>
      <c r="J26" s="2">
        <f t="shared" si="1"/>
        <v>8</v>
      </c>
      <c r="K26" s="2" t="e">
        <f t="shared" ca="1" si="3"/>
        <v>#NAME?</v>
      </c>
      <c r="L26" s="2" t="e">
        <f t="shared" ca="1" si="3"/>
        <v>#NAME?</v>
      </c>
      <c r="M26" s="2" t="e">
        <f t="shared" ca="1" si="3"/>
        <v>#NAME?</v>
      </c>
      <c r="N26" s="2" t="e">
        <f t="shared" ca="1" si="3"/>
        <v>#NAME?</v>
      </c>
    </row>
    <row r="27" spans="9:14" x14ac:dyDescent="0.2">
      <c r="I27" s="2">
        <v>114</v>
      </c>
      <c r="J27" s="2">
        <f t="shared" si="1"/>
        <v>9</v>
      </c>
      <c r="K27" s="2" t="e">
        <f t="shared" ca="1" si="3"/>
        <v>#NAME?</v>
      </c>
      <c r="L27" s="2" t="e">
        <f t="shared" ca="1" si="3"/>
        <v>#NAME?</v>
      </c>
      <c r="M27" s="2" t="e">
        <f t="shared" ca="1" si="3"/>
        <v>#NAME?</v>
      </c>
      <c r="N27" s="2" t="e">
        <f t="shared" ca="1" si="3"/>
        <v>#NAME?</v>
      </c>
    </row>
    <row r="28" spans="9:14" x14ac:dyDescent="0.2">
      <c r="I28" s="2">
        <v>115</v>
      </c>
      <c r="J28" s="2">
        <f t="shared" si="1"/>
        <v>10</v>
      </c>
      <c r="K28" s="2" t="e">
        <f t="shared" ca="1" si="3"/>
        <v>#NAME?</v>
      </c>
      <c r="L28" s="2" t="e">
        <f t="shared" ca="1" si="3"/>
        <v>#NAME?</v>
      </c>
      <c r="M28" s="2" t="e">
        <f t="shared" ca="1" si="3"/>
        <v>#NAME?</v>
      </c>
      <c r="N28" s="2" t="e">
        <f t="shared" ca="1" si="3"/>
        <v>#NAME?</v>
      </c>
    </row>
    <row r="29" spans="9:14" x14ac:dyDescent="0.2">
      <c r="I29" s="2">
        <v>116</v>
      </c>
      <c r="J29" s="2">
        <f t="shared" si="1"/>
        <v>11</v>
      </c>
      <c r="K29" s="2" t="e">
        <f t="shared" ca="1" si="3"/>
        <v>#NAME?</v>
      </c>
      <c r="L29" s="2" t="e">
        <f t="shared" ca="1" si="3"/>
        <v>#NAME?</v>
      </c>
      <c r="M29" s="2" t="e">
        <f t="shared" ca="1" si="3"/>
        <v>#NAME?</v>
      </c>
      <c r="N29" s="2" t="e">
        <f t="shared" ca="1" si="3"/>
        <v>#NAME?</v>
      </c>
    </row>
    <row r="30" spans="9:14" x14ac:dyDescent="0.2">
      <c r="I30" s="2">
        <v>117</v>
      </c>
      <c r="J30" s="2">
        <f t="shared" si="1"/>
        <v>12</v>
      </c>
      <c r="K30" s="2" t="e">
        <f t="shared" ca="1" si="3"/>
        <v>#NAME?</v>
      </c>
      <c r="L30" s="2" t="e">
        <f t="shared" ca="1" si="3"/>
        <v>#NAME?</v>
      </c>
      <c r="M30" s="2" t="e">
        <f t="shared" ca="1" si="3"/>
        <v>#NAME?</v>
      </c>
      <c r="N30" s="2" t="e">
        <f t="shared" ca="1" si="3"/>
        <v>#NAME?</v>
      </c>
    </row>
    <row r="31" spans="9:14" x14ac:dyDescent="0.2">
      <c r="I31" s="2">
        <v>118</v>
      </c>
      <c r="J31" s="2">
        <f t="shared" si="1"/>
        <v>13</v>
      </c>
      <c r="K31" s="2" t="e">
        <f t="shared" ca="1" si="3"/>
        <v>#NAME?</v>
      </c>
      <c r="L31" s="2" t="e">
        <f t="shared" ca="1" si="3"/>
        <v>#NAME?</v>
      </c>
      <c r="M31" s="2" t="e">
        <f t="shared" ca="1" si="3"/>
        <v>#NAME?</v>
      </c>
      <c r="N31" s="2" t="e">
        <f t="shared" ca="1" si="3"/>
        <v>#NAME?</v>
      </c>
    </row>
    <row r="32" spans="9:14" x14ac:dyDescent="0.2">
      <c r="I32" s="2">
        <v>119</v>
      </c>
      <c r="J32" s="2">
        <f t="shared" si="1"/>
        <v>14</v>
      </c>
      <c r="K32" s="2" t="e">
        <f t="shared" ca="1" si="3"/>
        <v>#NAME?</v>
      </c>
      <c r="L32" s="2" t="e">
        <f t="shared" ca="1" si="3"/>
        <v>#NAME?</v>
      </c>
      <c r="M32" s="2" t="e">
        <f t="shared" ca="1" si="3"/>
        <v>#NAME?</v>
      </c>
      <c r="N32" s="2" t="e">
        <f t="shared" ca="1" si="3"/>
        <v>#NAME?</v>
      </c>
    </row>
    <row r="33" spans="9:14" x14ac:dyDescent="0.2">
      <c r="I33" s="2">
        <v>120</v>
      </c>
      <c r="J33" s="2">
        <f t="shared" si="1"/>
        <v>15</v>
      </c>
      <c r="K33" s="2" t="e">
        <f t="shared" ca="1" si="3"/>
        <v>#NAME?</v>
      </c>
      <c r="L33" s="2" t="e">
        <f t="shared" ca="1" si="3"/>
        <v>#NAME?</v>
      </c>
      <c r="M33" s="2" t="e">
        <f t="shared" ca="1" si="3"/>
        <v>#NAME?</v>
      </c>
      <c r="N33" s="2" t="e">
        <f t="shared" ca="1" si="3"/>
        <v>#NAME?</v>
      </c>
    </row>
  </sheetData>
  <mergeCells count="1">
    <mergeCell ref="J1:N1"/>
  </mergeCells>
  <phoneticPr fontId="7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42</vt:i4>
      </vt:variant>
    </vt:vector>
  </HeadingPairs>
  <TitlesOfParts>
    <vt:vector size="47" baseType="lpstr">
      <vt:lpstr>Pricer</vt:lpstr>
      <vt:lpstr>Pricer with Names</vt:lpstr>
      <vt:lpstr>Pricer Protected</vt:lpstr>
      <vt:lpstr>Pricer with Function</vt:lpstr>
      <vt:lpstr>Sheet1</vt:lpstr>
      <vt:lpstr>'Pricer Protected'!CallorPut</vt:lpstr>
      <vt:lpstr>'Pricer with Function'!CallorPut</vt:lpstr>
      <vt:lpstr>CallorPut</vt:lpstr>
      <vt:lpstr>'Pricer Protected'!divyld</vt:lpstr>
      <vt:lpstr>'Pricer with Function'!divyld</vt:lpstr>
      <vt:lpstr>divyld</vt:lpstr>
      <vt:lpstr>'Pricer Protected'!ir</vt:lpstr>
      <vt:lpstr>'Pricer with Function'!ir</vt:lpstr>
      <vt:lpstr>ir</vt:lpstr>
      <vt:lpstr>'Pricer Protected'!K</vt:lpstr>
      <vt:lpstr>'Pricer with Function'!K</vt:lpstr>
      <vt:lpstr>K</vt:lpstr>
      <vt:lpstr>'Pricer Protected'!norm1</vt:lpstr>
      <vt:lpstr>'Pricer with Function'!norm1</vt:lpstr>
      <vt:lpstr>norm1</vt:lpstr>
      <vt:lpstr>'Pricer Protected'!norm1prime</vt:lpstr>
      <vt:lpstr>'Pricer with Function'!norm1prime</vt:lpstr>
      <vt:lpstr>norm1prime</vt:lpstr>
      <vt:lpstr>'Pricer Protected'!norm2</vt:lpstr>
      <vt:lpstr>'Pricer with Function'!norm2</vt:lpstr>
      <vt:lpstr>norm2</vt:lpstr>
      <vt:lpstr>'Pricer Protected'!norm2prime</vt:lpstr>
      <vt:lpstr>'Pricer with Function'!norm2prime</vt:lpstr>
      <vt:lpstr>norm2prime</vt:lpstr>
      <vt:lpstr>'Pricer Protected'!q</vt:lpstr>
      <vt:lpstr>'Pricer with Function'!q</vt:lpstr>
      <vt:lpstr>q</vt:lpstr>
      <vt:lpstr>'Pricer Protected'!S</vt:lpstr>
      <vt:lpstr>'Pricer with Function'!S</vt:lpstr>
      <vt:lpstr>S</vt:lpstr>
      <vt:lpstr>'Pricer Protected'!sigma</vt:lpstr>
      <vt:lpstr>'Pricer with Function'!sigma</vt:lpstr>
      <vt:lpstr>sigma</vt:lpstr>
      <vt:lpstr>'Pricer Protected'!SPrice</vt:lpstr>
      <vt:lpstr>'Pricer with Function'!SPrice</vt:lpstr>
      <vt:lpstr>SPrice</vt:lpstr>
      <vt:lpstr>'Pricer Protected'!Strike</vt:lpstr>
      <vt:lpstr>'Pricer with Function'!Strike</vt:lpstr>
      <vt:lpstr>Strike</vt:lpstr>
      <vt:lpstr>'Pricer Protected'!t</vt:lpstr>
      <vt:lpstr>'Pricer with Function'!t</vt:lpstr>
      <vt:lpstr>t</vt:lpstr>
    </vt:vector>
  </TitlesOfParts>
  <Company>Maple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Berdeklis</dc:creator>
  <cp:lastModifiedBy>Microsoft Office User</cp:lastModifiedBy>
  <cp:lastPrinted>2016-08-28T00:08:40Z</cp:lastPrinted>
  <dcterms:created xsi:type="dcterms:W3CDTF">2016-07-17T12:34:56Z</dcterms:created>
  <dcterms:modified xsi:type="dcterms:W3CDTF">2021-09-13T19:44:55Z</dcterms:modified>
</cp:coreProperties>
</file>